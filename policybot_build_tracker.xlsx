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4" activeTab="4" tabRatio="669.0140845070422"/>
  </bookViews>
  <sheets>
    <sheet r:id="rId1" name="Dashboard" sheetId="1"/>
    <sheet r:id="rId2" name="Task Tracker" sheetId="2"/>
    <sheet r:id="rId3" name="10-Day Plan" sheetId="3"/>
    <sheet r:id="rId4" name="Config Matrix" sheetId="4"/>
    <sheet r:id="rId5" name="API Checklist" sheetId="5"/>
    <sheet r:id="rId6" name="Google Drive Flow" sheetId="6"/>
    <sheet r:id="rId7" name="Testing Matrix" sheetId="7"/>
    <sheet r:id="rId8" name="Risk Register" sheetId="8"/>
    <sheet r:id="rId9" name="Lists" sheetId="9"/>
    <sheet r:id="rId10" name="Sheet10" sheetId="10"/>
  </sheets>
  <calcPr calcId="0" iterate="1" iterateCount="1000" iterateDelta="0.01"/>
</workbook>
</file>

<file path=xl/sharedStrings.xml><?xml version="1.0" encoding="utf-8"?>
<sst xmlns="http://schemas.openxmlformats.org/spreadsheetml/2006/main" count="582" uniqueCount="582">
  <si>
    <t>PolicyBot Intelligence — Build Tracker Dashboard</t>
  </si>
  <si>
    <t>Metric</t>
  </si>
  <si>
    <t>Value</t>
  </si>
  <si>
    <t>Status</t>
  </si>
  <si>
    <t>Count</t>
  </si>
  <si>
    <t>Current Focus</t>
  </si>
  <si>
    <t>Instruction</t>
  </si>
  <si>
    <t>Total Tasks</t>
  </si>
  <si>
    <t>Done</t>
  </si>
  <si>
    <t>Default vector DB</t>
  </si>
  <si>
    <t>Qdrant local Docker</t>
  </si>
  <si>
    <t>In Progress</t>
  </si>
  <si>
    <t>Metadata DB</t>
  </si>
  <si>
    <t>MongoDB</t>
  </si>
  <si>
    <t>Blocked</t>
  </si>
  <si>
    <t>Default LLM</t>
  </si>
  <si>
    <t>Gemini provider</t>
  </si>
  <si>
    <t>In Review</t>
  </si>
  <si>
    <t>Default UI</t>
  </si>
  <si>
    <t>React + Tailwind</t>
  </si>
  <si>
    <t>Not Started</t>
  </si>
  <si>
    <t>Tracking rule</t>
  </si>
  <si>
    <t>Update tracker after every phase</t>
  </si>
  <si>
    <t>MVP flow</t>
  </si>
  <si>
    <t>Local ingest → Query → Trace UI</t>
  </si>
  <si>
    <t>Completion %</t>
  </si>
  <si>
    <t>Area</t>
  </si>
  <si>
    <t>Total</t>
  </si>
  <si>
    <t>Backend</t>
  </si>
  <si>
    <t>Frontend</t>
  </si>
  <si>
    <t>Infra</t>
  </si>
  <si>
    <t>RAG</t>
  </si>
  <si>
    <t>Vector DB</t>
  </si>
  <si>
    <t>Google Drive</t>
  </si>
  <si>
    <t>Docs</t>
  </si>
  <si>
    <t>Testing</t>
  </si>
  <si>
    <t>Evaluation</t>
  </si>
  <si>
    <t>Security</t>
  </si>
  <si>
    <t>Observability</t>
  </si>
  <si>
    <t>ID</t>
  </si>
  <si>
    <t>Phase</t>
  </si>
  <si>
    <t>Task</t>
  </si>
  <si>
    <t>Acceptance Criteria</t>
  </si>
  <si>
    <t>Priority</t>
  </si>
  <si>
    <t>Owner</t>
  </si>
  <si>
    <t>Estimate Days</t>
  </si>
  <si>
    <t>Target Day</t>
  </si>
  <si>
    <t>Dependencies</t>
  </si>
  <si>
    <t>Notes</t>
  </si>
  <si>
    <t>Last Updated</t>
  </si>
  <si>
    <t>PB-001</t>
  </si>
  <si>
    <t>Phase 1 Foundation</t>
  </si>
  <si>
    <t>Create repository structure</t>
  </si>
  <si>
    <t>Create backend, frontend, docs, scripts, templates folders exactly as required.</t>
  </si>
  <si>
    <t>P0</t>
  </si>
  <si>
    <t>Dev</t>
  </si>
  <si>
    <t>Day 1</t>
  </si>
  <si>
    <t>PB-002</t>
  </si>
  <si>
    <t>Create FastAPI app skeleton</t>
  </si>
  <si>
    <t>App starts, exposes /api/v1/health, includes router layout and CORS.</t>
  </si>
  <si>
    <t>PB-003</t>
  </si>
  <si>
    <t>Create React Vite TypeScript app</t>
  </si>
  <si>
    <t>App boots locally, Tailwind configured, routes initialized.</t>
  </si>
  <si>
    <t>PB-004</t>
  </si>
  <si>
    <t>Add Docker Compose baseline</t>
  </si>
  <si>
    <t>MongoDB, Qdrant, backend, and frontend services defined.</t>
  </si>
  <si>
    <t>PB-002, PB-003</t>
  </si>
  <si>
    <t>PB-005</t>
  </si>
  <si>
    <t>Add Makefile commands</t>
  </si>
  <si>
    <t>make setup/dev/docker-up/docker-down/test/logs commands documented and working.</t>
  </si>
  <si>
    <t>PB-006</t>
  </si>
  <si>
    <t>Create first README</t>
  </si>
  <si>
    <t>README explains project, stack, one-command startup, folder structure.</t>
  </si>
  <si>
    <t>P1</t>
  </si>
  <si>
    <t>PB-007</t>
  </si>
  <si>
    <t>Phase 2 Config</t>
  </si>
  <si>
    <t>Create Pydantic settings</t>
  </si>
  <si>
    <t>All env vars loaded, typed, validated, and accessible via dependency.</t>
  </si>
  <si>
    <t>PB-008</t>
  </si>
  <si>
    <t>Create config API</t>
  </si>
  <si>
    <t>GET/PATCH config endpoints support non-secret runtime settings.</t>
  </si>
  <si>
    <t>Day 2</t>
  </si>
  <si>
    <t>PB-009</t>
  </si>
  <si>
    <t>Settings page skeleton</t>
  </si>
  <si>
    <t>Settings page displays active LLM provider, vector DB, chunk size, top-k.</t>
  </si>
  <si>
    <t>PB-003, PB-008</t>
  </si>
  <si>
    <t>PB-010</t>
  </si>
  <si>
    <t>Phase 3 MongoDB</t>
  </si>
  <si>
    <t>Create async Mongo client</t>
  </si>
  <si>
    <t>Motor client initialized, health check works, clean shutdown implemented.</t>
  </si>
  <si>
    <t>PB-011</t>
  </si>
  <si>
    <t>Create repository base class</t>
  </si>
  <si>
    <t>Reusable async CRUD helpers and collection access pattern.</t>
  </si>
  <si>
    <t>PB-012</t>
  </si>
  <si>
    <t>Create core repositories</t>
  </si>
  <si>
    <t>Sources, documents, chunks, jobs, traces, evaluation, config repos exist.</t>
  </si>
  <si>
    <t>PB-013</t>
  </si>
  <si>
    <t>Create Mongo indexes</t>
  </si>
  <si>
    <t>Indexes for source_id, document_id, hash, modified_at, job_id, trace_id.</t>
  </si>
  <si>
    <t>PB-014</t>
  </si>
  <si>
    <t>Phase 4 Vector DB</t>
  </si>
  <si>
    <t>Create BaseVectorStore interface</t>
  </si>
  <si>
    <t>Abstract async methods for ensure_collection, upsert, search, delete.</t>
  </si>
  <si>
    <t>Day 3</t>
  </si>
  <si>
    <t>PB-015</t>
  </si>
  <si>
    <t>Implement QdrantVectorStore</t>
  </si>
  <si>
    <t>Qdrant collection auto-created, upsert/search/delete work.</t>
  </si>
  <si>
    <t>PB-016</t>
  </si>
  <si>
    <t>Add vector store factory</t>
  </si>
  <si>
    <t>Factory chooses qdrant/pinecone/chroma/mongo by env config.</t>
  </si>
  <si>
    <t>PB-014, PB-015</t>
  </si>
  <si>
    <t>PB-017</t>
  </si>
  <si>
    <t>Add Pinecone/Chroma/Mongo skeleton adapters</t>
  </si>
  <si>
    <t>Adapters compile and raise useful NotConfiguredError if missing settings.</t>
  </si>
  <si>
    <t>P2</t>
  </si>
  <si>
    <t>PB-018</t>
  </si>
  <si>
    <t>Phase 5 LLM Providers</t>
  </si>
  <si>
    <t>Create BaseLLMProvider and BaseEmbeddingProvider</t>
  </si>
  <si>
    <t>Provider interfaces are async and model-agnostic.</t>
  </si>
  <si>
    <t>PB-019</t>
  </si>
  <si>
    <t>Implement Gemini provider</t>
  </si>
  <si>
    <t>Gemini chat and embedding provider work using env config.</t>
  </si>
  <si>
    <t>PB-020</t>
  </si>
  <si>
    <t>Create provider factory</t>
  </si>
  <si>
    <t>RAG services receive providers through factory/dependency injection.</t>
  </si>
  <si>
    <t>PB-021</t>
  </si>
  <si>
    <t>Add OpenAI/Anthropic/local skeletons</t>
  </si>
  <si>
    <t>Skeleton adapters are clean and easy to complete later.</t>
  </si>
  <si>
    <t>Day 4</t>
  </si>
  <si>
    <t>PB-022</t>
  </si>
  <si>
    <t>Phase 6 Ingestion</t>
  </si>
  <si>
    <t>Create connector abstraction</t>
  </si>
  <si>
    <t>BaseConnector supports list_files, get_metadata, download/read content.</t>
  </si>
  <si>
    <t>PB-023</t>
  </si>
  <si>
    <t>Implement local folder connector</t>
  </si>
  <si>
    <t>Scans .txt .md .pdf .docx .csv files and returns metadata.</t>
  </si>
  <si>
    <t>PB-024</t>
  </si>
  <si>
    <t>Create document loaders</t>
  </si>
  <si>
    <t>Text extraction works for MVP supported formats.</t>
  </si>
  <si>
    <t>PB-025</t>
  </si>
  <si>
    <t>Create chunking strategy</t>
  </si>
  <si>
    <t>Configurable chunk size/overlap with metadata preserved.</t>
  </si>
  <si>
    <t>PB-026</t>
  </si>
  <si>
    <t>Create hash/version service</t>
  </si>
  <si>
    <t>Unchanged files skipped, changed files versioned.</t>
  </si>
  <si>
    <t>PB-012, PB-024</t>
  </si>
  <si>
    <t>PB-027</t>
  </si>
  <si>
    <t>Build ingestion service</t>
  </si>
  <si>
    <t>End-to-end local folder indexing into MongoDB and Qdrant.</t>
  </si>
  <si>
    <t>Day 5</t>
  </si>
  <si>
    <t>PB-015, PB-019, PB-025, PB-026</t>
  </si>
  <si>
    <t>PB-028</t>
  </si>
  <si>
    <t>Build ingestion UI</t>
  </si>
  <si>
    <t>Sources page can submit local folder path and show job progress.</t>
  </si>
  <si>
    <t>PB-029</t>
  </si>
  <si>
    <t>Phase 7 Google Drive</t>
  </si>
  <si>
    <t>Document Google OAuth setup</t>
  </si>
  <si>
    <t>Docs explain client ID, API key, redirect URI, and scopes.</t>
  </si>
  <si>
    <t>PB-030</t>
  </si>
  <si>
    <t>Create Connect Google Drive button</t>
  </si>
  <si>
    <t>Button starts auth/picker flow and shows connection state.</t>
  </si>
  <si>
    <t>PB-003, PB-029</t>
  </si>
  <si>
    <t>PB-031</t>
  </si>
  <si>
    <t>Implement Google Picker component</t>
  </si>
  <si>
    <t>User can choose files/folder and see selected source cards.</t>
  </si>
  <si>
    <t>Day 6</t>
  </si>
  <si>
    <t>PB-032</t>
  </si>
  <si>
    <t>Create Google Drive connector skeleton</t>
  </si>
  <si>
    <t>Connector lists/downloads selected files; folder sync mode documented.</t>
  </si>
  <si>
    <t>PB-022, PB-031</t>
  </si>
  <si>
    <t>PB-033</t>
  </si>
  <si>
    <t>Add Drive ingestion endpoints</t>
  </si>
  <si>
    <t>picker-selection and folder-sync endpoints create source and ingestion job.</t>
  </si>
  <si>
    <t>PB-027, PB-032</t>
  </si>
  <si>
    <t>PB-034</t>
  </si>
  <si>
    <t>Phase 8 RAG</t>
  </si>
  <si>
    <t>Create query schemas</t>
  </si>
  <si>
    <t>Query request/response includes answer, citations, scores, trace_id.</t>
  </si>
  <si>
    <t>PB-035</t>
  </si>
  <si>
    <t>Create retrieval service</t>
  </si>
  <si>
    <t>Vector search plus optional keyword search returns candidates.</t>
  </si>
  <si>
    <t>PB-015, PB-019</t>
  </si>
  <si>
    <t>PB-036</t>
  </si>
  <si>
    <t>Create freshness resolver</t>
  </si>
  <si>
    <t>Resolver prefers latest valid document using modified_at/version/hash.</t>
  </si>
  <si>
    <t>PB-037</t>
  </si>
  <si>
    <t>Create reranker/context grader</t>
  </si>
  <si>
    <t>Candidate chunks are sorted and filtered before prompt building.</t>
  </si>
  <si>
    <t>Day 7</t>
  </si>
  <si>
    <t>PB-038</t>
  </si>
  <si>
    <t>Create prompt builder and citation service</t>
  </si>
  <si>
    <t>Prompt includes context and citation rules; answer includes source references.</t>
  </si>
  <si>
    <t>PB-036, PB-037</t>
  </si>
  <si>
    <t>PB-039</t>
  </si>
  <si>
    <t>Implement LangGraph RAG graph</t>
  </si>
  <si>
    <t>All RAG nodes emit trace events and return final answer.</t>
  </si>
  <si>
    <t>PB-038, PB-020</t>
  </si>
  <si>
    <t>PB-040</t>
  </si>
  <si>
    <t>Create query endpoint</t>
  </si>
  <si>
    <t>POST /query runs graph and persists trace/session.</t>
  </si>
  <si>
    <t>PB-041</t>
  </si>
  <si>
    <t>Build chat page</t>
  </si>
  <si>
    <t>User asks question, sees answer, citations, confidence, and trace link.</t>
  </si>
  <si>
    <t>PB-042</t>
  </si>
  <si>
    <t>Phase 9 Observability</t>
  </si>
  <si>
    <t>Create trace service</t>
  </si>
  <si>
    <t>Trace events persisted with node name, timestamps, payload, score.</t>
  </si>
  <si>
    <t>PB-043</t>
  </si>
  <si>
    <t>Create trace API</t>
  </si>
  <si>
    <t>GET /traces/{trace_id} returns operational trace.</t>
  </si>
  <si>
    <t>Day 8</t>
  </si>
  <si>
    <t>PB-044</t>
  </si>
  <si>
    <t>Build trace timeline UI</t>
  </si>
  <si>
    <t>Timeline shows query rewrite, retrieval, rerank, freshness, answer, scores.</t>
  </si>
  <si>
    <t>PB-045</t>
  </si>
  <si>
    <t>Add structured logging</t>
  </si>
  <si>
    <t>Backend logs include request_id, job_id, trace_id, latency, provider.</t>
  </si>
  <si>
    <t>PB-046</t>
  </si>
  <si>
    <t>Phase 10 Evaluation</t>
  </si>
  <si>
    <t>Create scoring service</t>
  </si>
  <si>
    <t>Calculates retrieval, freshness, coverage, citation, confidence, latency scores.</t>
  </si>
  <si>
    <t>PB-047</t>
  </si>
  <si>
    <t>Create evaluation backend</t>
  </si>
  <si>
    <t>Golden dataset and eval run endpoints work.</t>
  </si>
  <si>
    <t>PB-048</t>
  </si>
  <si>
    <t>Build evaluation dashboard</t>
  </si>
  <si>
    <t>Accuracy %, failed cases, and weak source table visible.</t>
  </si>
  <si>
    <t>Day 9</t>
  </si>
  <si>
    <t>PB-049</t>
  </si>
  <si>
    <t>Phase 11 UI</t>
  </si>
  <si>
    <t>Create layout and sidebar</t>
  </si>
  <si>
    <t>Responsive app shell with sidebar, header, active route, status badges.</t>
  </si>
  <si>
    <t>PB-050</t>
  </si>
  <si>
    <t>Create dashboard page</t>
  </si>
  <si>
    <t>Cards for docs, chunks, jobs, confidence, latency, provider, vector DB.</t>
  </si>
  <si>
    <t>PB-028, PB-041</t>
  </si>
  <si>
    <t>PB-051</t>
  </si>
  <si>
    <t>Create multi-theme system</t>
  </si>
  <si>
    <t>Black, white, blue, red, gradient, custom color and localStorage persistence.</t>
  </si>
  <si>
    <t>PB-052</t>
  </si>
  <si>
    <t>Create settings page functionality</t>
  </si>
  <si>
    <t>Model/vector/chunk/top-k settings UI connected to backend.</t>
  </si>
  <si>
    <t>PB-008, PB-051</t>
  </si>
  <si>
    <t>PB-053</t>
  </si>
  <si>
    <t>Phase 12 Docs</t>
  </si>
  <si>
    <t>Create product overview doc</t>
  </si>
  <si>
    <t>Client-friendly product explanation and value proposition.</t>
  </si>
  <si>
    <t>PB-054</t>
  </si>
  <si>
    <t>Create developer setup doc</t>
  </si>
  <si>
    <t>Local setup, env, Docker, troubleshooting, commands.</t>
  </si>
  <si>
    <t>PB-055</t>
  </si>
  <si>
    <t>Create architecture docs</t>
  </si>
  <si>
    <t>Backend, frontend, full-stack, data flow, RAG flow documented.</t>
  </si>
  <si>
    <t>PB-056</t>
  </si>
  <si>
    <t>Create API reference docs</t>
  </si>
  <si>
    <t>Every endpoint documented with request/response examples.</t>
  </si>
  <si>
    <t>PB-040, PB-043, PB-047</t>
  </si>
  <si>
    <t>PB-057</t>
  </si>
  <si>
    <t>Create implementation tracker files</t>
  </si>
  <si>
    <t>CSV and MD trackers exist and are updated by phase.</t>
  </si>
  <si>
    <t>PB-058</t>
  </si>
  <si>
    <t>Phase 13 Testing</t>
  </si>
  <si>
    <t>Backend unit tests</t>
  </si>
  <si>
    <t>Tests for config, factories, chunking, freshness, scoring, health.</t>
  </si>
  <si>
    <t>PB-059</t>
  </si>
  <si>
    <t>Frontend basic tests</t>
  </si>
  <si>
    <t>App, theme switcher, chat page, sources page render tests.</t>
  </si>
  <si>
    <t>PB-060</t>
  </si>
  <si>
    <t>End-to-end smoke test</t>
  </si>
  <si>
    <t>Local ingest -&gt; query -&gt; answer -&gt; trace works with demo data.</t>
  </si>
  <si>
    <t>Day 10</t>
  </si>
  <si>
    <t>PB-041, PB-044</t>
  </si>
  <si>
    <t>PB-061</t>
  </si>
  <si>
    <t>Phase 14 Deployment</t>
  </si>
  <si>
    <t>Finalize Docker production build</t>
  </si>
  <si>
    <t>Frontend nginx build and backend Dockerfile work cleanly.</t>
  </si>
  <si>
    <t>PB-004, PB-051</t>
  </si>
  <si>
    <t>PB-062</t>
  </si>
  <si>
    <t>Create deployment guide</t>
  </si>
  <si>
    <t>Render/Railway/Fly/VPS style deployment guide with env notes.</t>
  </si>
  <si>
    <t>PB-063</t>
  </si>
  <si>
    <t>Add secrets and token handling notes</t>
  </si>
  <si>
    <t>Docs explain OAuth tokens, env files, and what not to commit.</t>
  </si>
  <si>
    <t>PB-029, PB-054</t>
  </si>
  <si>
    <t>PB-064</t>
  </si>
  <si>
    <t>Phase 14 Final QA</t>
  </si>
  <si>
    <t>Run full command checklist</t>
  </si>
  <si>
    <t>make setup/docker-up/test/ingest-demo documented with actual result.</t>
  </si>
  <si>
    <t>PB-060, PB-061</t>
  </si>
  <si>
    <t>PB-065</t>
  </si>
  <si>
    <t>Final README update</t>
  </si>
  <si>
    <t>README has commands, architecture summary, known limitations, next steps.</t>
  </si>
  <si>
    <t>Day</t>
  </si>
  <si>
    <t>Theme</t>
  </si>
  <si>
    <t>Main Outcomes</t>
  </si>
  <si>
    <t>Exit Criteria</t>
  </si>
  <si>
    <t>Related Task IDs</t>
  </si>
  <si>
    <t>Foundation</t>
  </si>
  <si>
    <t>Repo, FastAPI, React, Docker, config, tracker</t>
  </si>
  <si>
    <t>Health endpoint and frontend boot</t>
  </si>
  <si>
    <t>PB-001 to PB-009</t>
  </si>
  <si>
    <t>Async Mongo layer, repos, indexes</t>
  </si>
  <si>
    <t>Mongo health and CRUD repositories</t>
  </si>
  <si>
    <t>PB-010 to PB-013</t>
  </si>
  <si>
    <t>Vector + LLM</t>
  </si>
  <si>
    <t>Qdrant and Gemini abstractions</t>
  </si>
  <si>
    <t>Embed/search/generate path works</t>
  </si>
  <si>
    <t>PB-014 to PB-021</t>
  </si>
  <si>
    <t>Ingestion Core</t>
  </si>
  <si>
    <t>Local connector, loaders, chunking, hashing</t>
  </si>
  <si>
    <t>Sample files indexed</t>
  </si>
  <si>
    <t>PB-022 to PB-027</t>
  </si>
  <si>
    <t>Ingestion UI + Drive Docs</t>
  </si>
  <si>
    <t>Sources UI and Drive setup docs</t>
  </si>
  <si>
    <t>Local ingestion visible in UI</t>
  </si>
  <si>
    <t>PB-028 to PB-030</t>
  </si>
  <si>
    <t>Google Drive + Retrieval</t>
  </si>
  <si>
    <t>Picker component, Drive connector, retrieval service</t>
  </si>
  <si>
    <t>Drive source creates ingestion job</t>
  </si>
  <si>
    <t>PB-031 to PB-036</t>
  </si>
  <si>
    <t>LangGraph RAG</t>
  </si>
  <si>
    <t>RAG graph, citations, query endpoint, chat UI</t>
  </si>
  <si>
    <t>Ask question and get cited answer</t>
  </si>
  <si>
    <t>PB-037 to PB-041</t>
  </si>
  <si>
    <t>Trace + Scoring + UI</t>
  </si>
  <si>
    <t>Trace timeline, scoring, dashboard, themes</t>
  </si>
  <si>
    <t>Trace UI shows operational path</t>
  </si>
  <si>
    <t>PB-042 to PB-052</t>
  </si>
  <si>
    <t>Evaluation + Docs + Tests</t>
  </si>
  <si>
    <t>Eval dashboard, docs, backend/frontend tests</t>
  </si>
  <si>
    <t>Docs and tests present</t>
  </si>
  <si>
    <t>PB-053 to PB-059</t>
  </si>
  <si>
    <t>Deployment + QA</t>
  </si>
  <si>
    <t>Prod Docker, deployment guide, smoke test</t>
  </si>
  <si>
    <t>Full demo path works</t>
  </si>
  <si>
    <t>PB-060 to PB-065</t>
  </si>
  <si>
    <t>Variable</t>
  </si>
  <si>
    <t>Required</t>
  </si>
  <si>
    <t>Default/Example</t>
  </si>
  <si>
    <t>Used By</t>
  </si>
  <si>
    <t>Purpose</t>
  </si>
  <si>
    <t>APP_NAME</t>
  </si>
  <si>
    <t>Yes</t>
  </si>
  <si>
    <t>PolicyBot Intelligence</t>
  </si>
  <si>
    <t>Backend/Frontend</t>
  </si>
  <si>
    <t>Application display name</t>
  </si>
  <si>
    <t>APP_ENV</t>
  </si>
  <si>
    <t>local</t>
  </si>
  <si>
    <t>Environment mode</t>
  </si>
  <si>
    <t>local/dev/prod</t>
  </si>
  <si>
    <t>API_PREFIX</t>
  </si>
  <si>
    <t>/api/v1</t>
  </si>
  <si>
    <t>API base prefix</t>
  </si>
  <si>
    <t>BACKEND_CORS_ORIGINS</t>
  </si>
  <si>
    <t>http://localhost:5173</t>
  </si>
  <si>
    <t>Allowed frontend origins</t>
  </si>
  <si>
    <t>Comma-separated</t>
  </si>
  <si>
    <t>MONGODB_URI</t>
  </si>
  <si>
    <t>mongodb://mongodb:27017</t>
  </si>
  <si>
    <t>MongoDB connection string</t>
  </si>
  <si>
    <t>MONGODB_DB</t>
  </si>
  <si>
    <t>policybot</t>
  </si>
  <si>
    <t>MongoDB database name</t>
  </si>
  <si>
    <t>VECTOR_DB_PROVIDER</t>
  </si>
  <si>
    <t>qdrant</t>
  </si>
  <si>
    <t>Select vector DB provider</t>
  </si>
  <si>
    <t>qdrant/pinecone/chroma/mongo</t>
  </si>
  <si>
    <t>QDRANT_URL</t>
  </si>
  <si>
    <t>http://qdrant:6333</t>
  </si>
  <si>
    <t>Qdrant service URL</t>
  </si>
  <si>
    <t>Default local Docker</t>
  </si>
  <si>
    <t>QDRANT_COLLECTION</t>
  </si>
  <si>
    <t>policybot_chunks</t>
  </si>
  <si>
    <t>Vector collection name</t>
  </si>
  <si>
    <t>QDRANT_VECTOR_SIZE</t>
  </si>
  <si>
    <t>768</t>
  </si>
  <si>
    <t>Embedding vector dimension</t>
  </si>
  <si>
    <t>Must match embedding model</t>
  </si>
  <si>
    <t>LLM_PROVIDER</t>
  </si>
  <si>
    <t>gemini</t>
  </si>
  <si>
    <t>Select LLM provider</t>
  </si>
  <si>
    <t>gemini/openai/anthropic/local</t>
  </si>
  <si>
    <t>GEMINI_API_KEY</t>
  </si>
  <si>
    <t>Yes for Gemini</t>
  </si>
  <si>
    <t>Gemini API key</t>
  </si>
  <si>
    <t>Secret; never commit</t>
  </si>
  <si>
    <t>GEMINI_CHAT_MODEL</t>
  </si>
  <si>
    <t>gemini-1.5-flash</t>
  </si>
  <si>
    <t>Gemini chat model</t>
  </si>
  <si>
    <t>Configurable</t>
  </si>
  <si>
    <t>GEMINI_EMBEDDING_MODEL</t>
  </si>
  <si>
    <t>text-embedding-004</t>
  </si>
  <si>
    <t>Gemini embedding model</t>
  </si>
  <si>
    <t>GOOGLE_CLIENT_ID</t>
  </si>
  <si>
    <t>For Drive</t>
  </si>
  <si>
    <t>Frontend/Backend</t>
  </si>
  <si>
    <t>Google OAuth web client ID</t>
  </si>
  <si>
    <t>Needed for Picker</t>
  </si>
  <si>
    <t>GOOGLE_CLIENT_SECRET</t>
  </si>
  <si>
    <t>Google OAuth client secret</t>
  </si>
  <si>
    <t>GOOGLE_API_KEY</t>
  </si>
  <si>
    <t>For Picker</t>
  </si>
  <si>
    <t>Google Picker API key</t>
  </si>
  <si>
    <t>Restrict in Google Cloud</t>
  </si>
  <si>
    <t>GOOGLE_REDIRECT_URI</t>
  </si>
  <si>
    <t>http://localhost:8000/api/v1/google-drive/oauth/callback</t>
  </si>
  <si>
    <t>OAuth callback</t>
  </si>
  <si>
    <t>Must match Cloud Console</t>
  </si>
  <si>
    <t>TRACE_ENABLED</t>
  </si>
  <si>
    <t>true</t>
  </si>
  <si>
    <t>Enable trace persistence</t>
  </si>
  <si>
    <t>EVAL_ENABLED</t>
  </si>
  <si>
    <t>Enable evaluation endpoints</t>
  </si>
  <si>
    <t>LOG_LEVEL</t>
  </si>
  <si>
    <t>INFO</t>
  </si>
  <si>
    <t>Logging level</t>
  </si>
  <si>
    <t>Method</t>
  </si>
  <si>
    <t>Endpoint</t>
  </si>
  <si>
    <t>Backend Status</t>
  </si>
  <si>
    <t>Frontend Connected</t>
  </si>
  <si>
    <t>GET</t>
  </si>
  <si>
    <t>/api/v1/health</t>
  </si>
  <si>
    <t>Health check</t>
  </si>
  <si>
    <t>Mongo + Qdrant status</t>
  </si>
  <si>
    <t>/api/v1/config</t>
  </si>
  <si>
    <t>Fetch runtime config</t>
  </si>
  <si>
    <t>No secrets</t>
  </si>
  <si>
    <t>PATCH</t>
  </si>
  <si>
    <t>Update runtime config</t>
  </si>
  <si>
    <t>Validate values</t>
  </si>
  <si>
    <t>/api/v1/sources</t>
  </si>
  <si>
    <t>List sources</t>
  </si>
  <si>
    <t>Local + Drive</t>
  </si>
  <si>
    <t>POST</t>
  </si>
  <si>
    <t>/api/v1/sources/local-folder</t>
  </si>
  <si>
    <t>Create local source</t>
  </si>
  <si>
    <t>Server path mode</t>
  </si>
  <si>
    <t>/api/v1/sources/google-drive</t>
  </si>
  <si>
    <t>Create Drive source</t>
  </si>
  <si>
    <t>From picker/folder sync</t>
  </si>
  <si>
    <t>DELETE</t>
  </si>
  <si>
    <t>/api/v1/sources/{source_id}</t>
  </si>
  <si>
    <t>Delete source</t>
  </si>
  <si>
    <t>Also delete vectors? configurable</t>
  </si>
  <si>
    <t>/api/v1/ingestion/jobs</t>
  </si>
  <si>
    <t>Start ingestion job</t>
  </si>
  <si>
    <t>Async job</t>
  </si>
  <si>
    <t>List jobs</t>
  </si>
  <si>
    <t>Progress table</t>
  </si>
  <si>
    <t>/api/v1/ingestion/jobs/{job_id}</t>
  </si>
  <si>
    <t>Job details</t>
  </si>
  <si>
    <t>Counts/logs</t>
  </si>
  <si>
    <t>/api/v1/query</t>
  </si>
  <si>
    <t>Ask question</t>
  </si>
  <si>
    <t>Returns answer/citations/scores/trace_id</t>
  </si>
  <si>
    <t>/api/v1/traces/{trace_id}</t>
  </si>
  <si>
    <t>Trace details</t>
  </si>
  <si>
    <t>Timeline payload</t>
  </si>
  <si>
    <t>/api/v1/evaluation/datasets</t>
  </si>
  <si>
    <t>Create eval dataset</t>
  </si>
  <si>
    <t>Golden Q&amp;A</t>
  </si>
  <si>
    <t>List eval datasets</t>
  </si>
  <si>
    <t>/api/v1/evaluation/run</t>
  </si>
  <si>
    <t>Run evaluation</t>
  </si>
  <si>
    <t>/api/v1/evaluation/runs/{run_id}</t>
  </si>
  <si>
    <t>Eval results</t>
  </si>
  <si>
    <t>/api/v1/google-drive/config</t>
  </si>
  <si>
    <t>Drive client config</t>
  </si>
  <si>
    <t>No secret</t>
  </si>
  <si>
    <t>/api/v1/google-drive/oauth/start</t>
  </si>
  <si>
    <t>Start OAuth</t>
  </si>
  <si>
    <t>/api/v1/google-drive/oauth/callback</t>
  </si>
  <si>
    <t>/api/v1/google-drive/picker-selection</t>
  </si>
  <si>
    <t>Handle selected files</t>
  </si>
  <si>
    <t>/api/v1/google-drive/folder-sync</t>
  </si>
  <si>
    <t>Start folder sync</t>
  </si>
  <si>
    <t>May need broader scope</t>
  </si>
  <si>
    <t>Step</t>
  </si>
  <si>
    <t>Frontend Action</t>
  </si>
  <si>
    <t>Backend Action</t>
  </si>
  <si>
    <t>Data Stored</t>
  </si>
  <si>
    <t>Security Note</t>
  </si>
  <si>
    <t>User clicks Connect Google Drive</t>
  </si>
  <si>
    <t>Return public Google config</t>
  </si>
  <si>
    <t>Only client ID/API key exposed</t>
  </si>
  <si>
    <t>Frontend requests OAuth token</t>
  </si>
  <si>
    <t>OAuth callback/token handling if backend mode used</t>
  </si>
  <si>
    <t>Token reference/session</t>
  </si>
  <si>
    <t>Use least-privilege scopes</t>
  </si>
  <si>
    <t>Open Google Picker</t>
  </si>
  <si>
    <t>N/A</t>
  </si>
  <si>
    <t>Selected file/folder ids in UI state</t>
  </si>
  <si>
    <t>Picker lets user choose explicit files/folders</t>
  </si>
  <si>
    <t>User confirms Start Indexing</t>
  </si>
  <si>
    <t>Create source + ingestion job</t>
  </si>
  <si>
    <t>source record, job record</t>
  </si>
  <si>
    <t>Do not store raw token unless encrypted</t>
  </si>
  <si>
    <t>Show progress</t>
  </si>
  <si>
    <t>List/download/export selected files</t>
  </si>
  <si>
    <t>documents, versions, job logs</t>
  </si>
  <si>
    <t>Respect file permissions</t>
  </si>
  <si>
    <t>Display indexed files</t>
  </si>
  <si>
    <t>Extract metadata, chunk, embed, upsert</t>
  </si>
  <si>
    <t>chunks metadata + vectors</t>
  </si>
  <si>
    <t>Never expose private Drive content in logs</t>
  </si>
  <si>
    <t>RAG searches selected Drive source</t>
  </si>
  <si>
    <t>query session + trace</t>
  </si>
  <si>
    <t>Citations must point to allowed source metadata</t>
  </si>
  <si>
    <t>Test ID</t>
  </si>
  <si>
    <t>Layer</t>
  </si>
  <si>
    <t>Test Case</t>
  </si>
  <si>
    <t>Expected Result</t>
  </si>
  <si>
    <t>T-001</t>
  </si>
  <si>
    <t>Health endpoint</t>
  </si>
  <si>
    <t>Returns app, MongoDB, Qdrant health</t>
  </si>
  <si>
    <t>T-002</t>
  </si>
  <si>
    <t>Config loading</t>
  </si>
  <si>
    <t>Valid env loads and invalid env fails clearly</t>
  </si>
  <si>
    <t>T-003</t>
  </si>
  <si>
    <t>Provider factory</t>
  </si>
  <si>
    <t>Gemini provider returned for LLM_PROVIDER=gemini</t>
  </si>
  <si>
    <t>T-004</t>
  </si>
  <si>
    <t>Vector store factory</t>
  </si>
  <si>
    <t>Qdrant returned for VECTOR_DB_PROVIDER=qdrant</t>
  </si>
  <si>
    <t>T-005</t>
  </si>
  <si>
    <t>Chunking</t>
  </si>
  <si>
    <t>Chunks preserve source metadata and overlap config</t>
  </si>
  <si>
    <t>T-006</t>
  </si>
  <si>
    <t>Freshness resolver</t>
  </si>
  <si>
    <t>Latest valid source selected when conflicts exist</t>
  </si>
  <si>
    <t>T-007</t>
  </si>
  <si>
    <t>Scoring</t>
  </si>
  <si>
    <t>Scores are bounded 0-1 and explainable</t>
  </si>
  <si>
    <t>T-008</t>
  </si>
  <si>
    <t>Trace persistence</t>
  </si>
  <si>
    <t>Every graph node writes trace event</t>
  </si>
  <si>
    <t>T-009</t>
  </si>
  <si>
    <t>Integration</t>
  </si>
  <si>
    <t>Local ingest E2E</t>
  </si>
  <si>
    <t>Sample folder indexed into MongoDB + Qdrant</t>
  </si>
  <si>
    <t>T-010</t>
  </si>
  <si>
    <t>Ask question E2E</t>
  </si>
  <si>
    <t>Answer includes citations and trace id</t>
  </si>
  <si>
    <t>T-011</t>
  </si>
  <si>
    <t>App renders</t>
  </si>
  <si>
    <t>Routes render without crash</t>
  </si>
  <si>
    <t>T-012</t>
  </si>
  <si>
    <t>Theme switcher</t>
  </si>
  <si>
    <t>Theme changes and persists</t>
  </si>
  <si>
    <t>T-013</t>
  </si>
  <si>
    <t>Chat page</t>
  </si>
  <si>
    <t>Question input, answer card, citations visible</t>
  </si>
  <si>
    <t>T-014</t>
  </si>
  <si>
    <t>Sources page</t>
  </si>
  <si>
    <t>Local and Google Drive source cards visible</t>
  </si>
  <si>
    <t>Risk ID</t>
  </si>
  <si>
    <t>Risk</t>
  </si>
  <si>
    <t>Impact</t>
  </si>
  <si>
    <t>Probability</t>
  </si>
  <si>
    <t>Mitigation</t>
  </si>
  <si>
    <t>R-001</t>
  </si>
  <si>
    <t>Google Drive folder sync may need broader OAuth scope</t>
  </si>
  <si>
    <t>High</t>
  </si>
  <si>
    <t>Medium</t>
  </si>
  <si>
    <t>Implement file picker mode first; document folder sync scope difference.</t>
  </si>
  <si>
    <t>Open</t>
  </si>
  <si>
    <t>R-002</t>
  </si>
  <si>
    <t>Gemini embedding dimension mismatch with Qdrant config</t>
  </si>
  <si>
    <t>Keep vector size configurable; validate on startup before upsert.</t>
  </si>
  <si>
    <t>R-003</t>
  </si>
  <si>
    <t>10-day timeline too tight for full production polish</t>
  </si>
  <si>
    <t>Build MVP path first, then Drive/eval/polish.</t>
  </si>
  <si>
    <t>R-004</t>
  </si>
  <si>
    <t>Large PDFs cause slow ingestion</t>
  </si>
  <si>
    <t>Async jobs, chunk batching, progress logging, file size limits.</t>
  </si>
  <si>
    <t>R-005</t>
  </si>
  <si>
    <t>Trace UI may expose sensitive document content</t>
  </si>
  <si>
    <t>Show snippets/citations carefully; do not log secrets or tokens.</t>
  </si>
  <si>
    <t>R-006</t>
  </si>
  <si>
    <t>Vector DB provider abstraction becomes leaky</t>
  </si>
  <si>
    <t>Keep common search/upsert contract and provider-specific config isolated.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</si>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</sst>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94" formatCode="0.0%"/>
  </numFmts>
  <fonts count="5">
    <font>
      <sz val="11"/>
      <color theme="1"/>
      <name val="Calibri"/>
      <scheme val="minor"/>
    </font>
    <font>
      <b val="0"/>
      <i val="0"/>
      <sz val="11"/>
      <color auto="1"/>
      <name val="Carlito"/>
    </font>
    <font>
      <b/>
      <i val="0"/>
      <sz val="11"/>
      <color rgb="FFFFFFFF"/>
      <name val="Carlito"/>
    </font>
    <font>
      <b/>
      <i val="0"/>
      <sz val="16"/>
      <color rgb="FFFFFFFF"/>
      <name val="Carlito"/>
    </font>
    <font>
      <b/>
      <i val="0"/>
      <sz val="11"/>
      <color auto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theme="4" tint="0.8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theme="4" tint="0.2"/>
      </left>
      <top style="thin">
        <color theme="4" tint="0.2"/>
      </top>
      <bottom style="thin">
        <color theme="4" tint="0.2"/>
      </bottom>
    </border>
    <border>
      <left style="thin">
        <color theme="4" tint="0.2"/>
      </left>
      <right>
        <color rgb="FF000000"/>
      </right>
      <top style="thin">
        <color theme="4" tint="0.2"/>
      </top>
      <bottom style="thin">
        <color theme="4" tint="0.2"/>
      </bottom>
    </border>
  </borders>
  <cellStyleXfs count="2">
    <xf numFmtId="0" fontId="0" fillId="0" borderId="1">
      <alignment horizontal="general" vertical="top"/>
    </xf>
    <xf numFmtId="0" fontId="1" fillId="0" borderId="0"/>
  </cellStyleXfs>
  <cellXfs count="9">
    <xf numFmtId="0" fontId="0" fillId="0" borderId="1" xfId="0">
      <alignment vertical="top"/>
    </xf>
    <xf numFmtId="0" fontId="3" fillId="3" borderId="0" xfId="0">
      <alignment horizontal="center" vertical="center"/>
    </xf>
    <xf numFmtId="0" fontId="2" fillId="2" borderId="0" xfId="0">
      <alignment horizontal="center" vertical="center" wrapText="1"/>
    </xf>
    <xf numFmtId="0" fontId="1" fillId="0" borderId="0" xfId="0">
      <alignment vertical="bottom" wrapText="1"/>
    </xf>
    <xf numFmtId="0" fontId="4" fillId="4" borderId="0" xfId="0">
      <alignment vertical="bottom" wrapText="1"/>
    </xf>
    <xf numFmtId="494" fontId="1" fillId="0" borderId="0" xfId="0">
      <alignment vertical="bottom" wrapText="1"/>
    </xf>
    <xf numFmtId="0" fontId="2" fillId="2" borderId="3" xfId="0">
      <alignment horizontal="center" vertical="center" wrapText="1"/>
    </xf>
    <xf numFmtId="0" fontId="1" fillId="5" borderId="3" xfId="0">
      <alignment vertical="bottom" wrapText="1"/>
    </xf>
    <xf numFmtId="0" fontId="1" fillId="0" borderId="3" xfId="0">
      <alignment vertical="bottom" wrapText="1"/>
    </xf>
  </cellXfs>
  <cellStyles count="1">
    <cellStyle name="Normal" xfId="1"/>
  </cellStyles>
  <dxfs count="4"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B91C1C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Relationship Id="rId13" Type="http://schemas.openxmlformats.org/officeDocument/2006/relationships/sharedStrings" Target="sharedStrings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/>
              <a:t>Task Status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 chartType="6">
        <c:ser seriesType="0">
          <c:idx val="0"/>
          <c:order val="0"/>
          <c:tx>
            <c:v>Count</c:v>
          </c:tx>
          <c:cat>
            <c:strRef>
              <c:f>Dashboard!$D$4:$D$8</c:f>
            </c:strRef>
          </c:cat>
          <c:val>
            <c:numRef>
              <c:f>Dashboard!$E$4:$E$8</c:f>
              <c:numCache>
                <c:formatCode>General</c:formatCode>
              </c:numCache>
            </c:numRef>
          </c:val>
          <c:spPr/>
          <c:extLst/>
          <c:invertIfNegative val="0"/>
        </c:ser>
        <c:axId val="23086194"/>
        <c:axId val="45946419"/>
        <c:barDir val="col"/>
        <c:grouping val="clustered"/>
        <c:gapWidth val="150"/>
        <c:varyColors val="0"/>
        <c:overlap val="0"/>
      </c:barChart>
      <c:catAx axisType="0">
        <c:axId val="2308619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5946419"/>
        <c:crosses val="autoZero"/>
        <c:lblAlgn val="ctr"/>
        <c:lblOffset val="100"/>
        <c:noMultiLvlLbl val="1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0"/>
        <c:tickMarkSkip val="1"/>
      </c:catAx>
      <c:valAx axisType="3">
        <c:axId val="4594641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crosses val="autoZero"/>
        <c:crossBetween val="between"/>
        <c:crossAx val="23086194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 w="9525">
      <a:solidFill>
        <a:srgbClr val="d9d9d9"/>
      </a:solidFill>
      <a:prstDash val="solid"/>
    </a:ln>
  </c:sp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13</xdr:col>
      <xdr:colOff>0</xdr:colOff>
      <xdr:row>25</xdr:row>
      <xdr:rowOff>0</xdr:rowOff>
    </xdr:to>
    <xdr:graphicFrame>
      <xdr:nvGraphicFramePr>
        <xdr:cNvPr id="1" name="Chart"/>
        <xdr:cNvGraphicFramePr>
          <a:graphicFrameLocks noChangeAspect="0"/>
        </xdr:cNvGraphicFramePr>
      </xdr:nvGraphicFramePr>
      <xdr:xfrm>
        <a:off x="6076950" y="2143125"/>
        <a:ext cx="62484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skTrackerTable" displayName="TaskTrackerTable" ref="A1:M66">
  <autoFilter ref="A1:M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ID"/>
    <tableColumn id="2" name="Phase"/>
    <tableColumn id="3" name="Area"/>
    <tableColumn id="4" name="Task"/>
    <tableColumn id="5" name="Acceptance Criteria"/>
    <tableColumn id="6" name="Priority"/>
    <tableColumn id="7" name="Status"/>
    <tableColumn id="8" name="Owner"/>
    <tableColumn id="9" name="Estimate Days"/>
    <tableColumn id="10" name="Target Day"/>
    <tableColumn id="11" name="Dependencies"/>
    <tableColumn id="12" name="Notes"/>
    <tableColumn id="13" name="Last 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lestonesTable" displayName="MilestonesTable" ref="A1:E11">
  <autoFilter ref="A1:E11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y"/>
    <tableColumn id="2" name="Theme"/>
    <tableColumn id="3" name="Main Outcomes"/>
    <tableColumn id="4" name="Exit Criteria"/>
    <tableColumn id="5" name="Related Task 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figMatrixTable" displayName="ConfigMatrixTable" ref="A1:F22">
  <autoFilter ref="A1:F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Variable"/>
    <tableColumn id="2" name="Required"/>
    <tableColumn id="3" name="Default/Example"/>
    <tableColumn id="4" name="Used By"/>
    <tableColumn id="5" name="Purpose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iChecklistTable" displayName="ApiChecklistTable" ref="A1:F22">
  <autoFilter ref="A1:F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Method"/>
    <tableColumn id="2" name="Endpoint"/>
    <tableColumn id="3" name="Purpose"/>
    <tableColumn id="4" name="Backend Status"/>
    <tableColumn id="5" name="Frontend Connected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oogleDriveFlowTable" displayName="GoogleDriveFlowTable" ref="A1:F8">
  <autoFilter ref="A1:F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Step"/>
    <tableColumn id="2" name="Frontend Action"/>
    <tableColumn id="3" name="Backend Action"/>
    <tableColumn id="4" name="Data Stored"/>
    <tableColumn id="5" name="Security Note"/>
    <tableColumn id="6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stingMatrixTable" displayName="TestingMatrixTable" ref="A1:G15">
  <autoFilter ref="A1:G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est ID"/>
    <tableColumn id="2" name="Layer"/>
    <tableColumn id="3" name="Test Case"/>
    <tableColumn id="4" name="Expected Result"/>
    <tableColumn id="5" name="Priority"/>
    <tableColumn id="6" name="Status"/>
    <tableColumn id="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iskRegisterTable" displayName="RiskRegisterTable" ref="A1:G7">
  <autoFilter ref="A1:G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Risk ID"/>
    <tableColumn id="2" name="Risk"/>
    <tableColumn id="3" name="Impact"/>
    <tableColumn id="4" name="Probability"/>
    <tableColumn id="5" name="Mitigation"/>
    <tableColumn id="6" name="Owner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F237A4-4823-4F8D-8A43-AE5A5C86569A}" mc:Ignorable="x14ac xr xr2 xr3">
  <dimension ref="A1:T200"/>
  <sheetViews>
    <sheetView topLeftCell="A1" workbookViewId="0">
      <selection activeCell="A1" sqref="A1"/>
    </sheetView>
  </sheetViews>
  <sheetFormatPr defaultRowHeight="15" defaultColWidth="9.140625" customHeight="1"/>
  <cols>
    <col min="1" max="1" width="24.00390625" customWidth="1"/>
    <col min="2" max="4" width="14.00390625" customWidth="1"/>
    <col min="5" max="5" width="16.00390625" customWidth="1"/>
    <col min="7" max="7" width="28.00390625" customWidth="1"/>
    <col min="8" max="8" width="20.00390625" customWidth="1"/>
  </cols>
  <sheetData>
    <row r="1" ht="33.75" customHeight="1">
      <c r="A1" s="1" t="s">
        <v>0</v>
      </c>
    </row>
    <row r="3" ht="15" customHeight="1">
      <c r="A3" s="2" t="s">
        <v>1</v>
      </c>
      <c r="B3" s="2" t="s">
        <v>2</v>
      </c>
      <c r="C3" s="3"/>
      <c r="D3" s="2" t="s">
        <v>3</v>
      </c>
      <c r="E3" s="2" t="s">
        <v>4</v>
      </c>
      <c r="G3" s="2" t="s">
        <v>5</v>
      </c>
      <c r="H3" s="2" t="s">
        <v>6</v>
      </c>
    </row>
    <row r="4" ht="15" customHeight="1">
      <c r="A4" s="4" t="s">
        <v>7</v>
      </c>
      <c r="B4" s="3">
        <f>COUNTA('Task Tracker'!A2:A66)</f>
        <v>65</v>
      </c>
      <c r="C4" s="3"/>
      <c r="D4" s="3" t="s">
        <v>8</v>
      </c>
      <c r="E4" s="3">
        <f t="shared" si="0" ref="E4:E8">B5</f>
        <v>0</v>
      </c>
      <c r="G4" s="4" t="s">
        <v>9</v>
      </c>
      <c r="H4" s="3" t="s">
        <v>10</v>
      </c>
    </row>
    <row r="5" ht="15" customHeight="1">
      <c r="A5" s="4" t="s">
        <v>8</v>
      </c>
      <c r="B5" s="3">
        <f>COUNTIF('Task Tracker'!G2:G66,"Done")</f>
        <v>0</v>
      </c>
      <c r="C5" s="3"/>
      <c r="D5" s="3" t="s">
        <v>11</v>
      </c>
      <c r="E5" s="3">
        <f t="shared" si="0"/>
        <v>0</v>
      </c>
      <c r="G5" s="4" t="s">
        <v>12</v>
      </c>
      <c r="H5" s="3" t="s">
        <v>13</v>
      </c>
    </row>
    <row r="6" ht="15" customHeight="1">
      <c r="A6" s="4" t="s">
        <v>11</v>
      </c>
      <c r="B6" s="3">
        <f>COUNTIF('Task Tracker'!G2:G66,"In Progress")</f>
        <v>0</v>
      </c>
      <c r="C6" s="3"/>
      <c r="D6" s="3" t="s">
        <v>14</v>
      </c>
      <c r="E6" s="3">
        <f t="shared" si="0"/>
        <v>0</v>
      </c>
      <c r="G6" s="4" t="s">
        <v>15</v>
      </c>
      <c r="H6" s="3" t="s">
        <v>16</v>
      </c>
    </row>
    <row r="7" ht="15" customHeight="1">
      <c r="A7" s="4" t="s">
        <v>14</v>
      </c>
      <c r="B7" s="3">
        <f>COUNTIF('Task Tracker'!G2:G66,"Blocked")</f>
        <v>0</v>
      </c>
      <c r="C7" s="3"/>
      <c r="D7" s="3" t="s">
        <v>17</v>
      </c>
      <c r="E7" s="3">
        <f t="shared" si="0"/>
        <v>0</v>
      </c>
      <c r="G7" s="4" t="s">
        <v>18</v>
      </c>
      <c r="H7" s="3" t="s">
        <v>19</v>
      </c>
    </row>
    <row r="8" ht="15" customHeight="1">
      <c r="A8" s="4" t="s">
        <v>17</v>
      </c>
      <c r="B8" s="3">
        <f>COUNTIF('Task Tracker'!G2:G66,"In Review")</f>
        <v>0</v>
      </c>
      <c r="C8" s="3"/>
      <c r="D8" s="3" t="s">
        <v>20</v>
      </c>
      <c r="E8" s="3">
        <f t="shared" si="0"/>
        <v>65</v>
      </c>
      <c r="G8" s="4" t="s">
        <v>21</v>
      </c>
      <c r="H8" s="3" t="s">
        <v>22</v>
      </c>
    </row>
    <row r="9" ht="15" customHeight="1">
      <c r="A9" s="4" t="s">
        <v>20</v>
      </c>
      <c r="B9" s="3">
        <f>COUNTIF('Task Tracker'!G2:G66,"Not Started")</f>
        <v>65</v>
      </c>
      <c r="C9" s="3"/>
      <c r="D9" s="3"/>
      <c r="E9" s="3"/>
      <c r="G9" s="4" t="s">
        <v>23</v>
      </c>
      <c r="H9" s="3" t="s">
        <v>24</v>
      </c>
    </row>
    <row r="10" ht="15" customHeight="1">
      <c r="A10" s="4" t="s">
        <v>25</v>
      </c>
      <c r="B10" s="5">
        <f>IF(B4=0,0,B5/B4)</f>
        <v>0</v>
      </c>
      <c r="C10" s="3"/>
      <c r="D10" s="3"/>
      <c r="E10" s="3"/>
    </row>
    <row r="11" ht="15" customHeight="1">
      <c r="A11" s="3"/>
      <c r="B11" s="3"/>
      <c r="C11" s="3"/>
      <c r="D11" s="3"/>
      <c r="E11" s="3"/>
    </row>
    <row r="12" ht="15" customHeight="1">
      <c r="A12" s="2" t="s">
        <v>26</v>
      </c>
      <c r="B12" s="2" t="s">
        <v>27</v>
      </c>
      <c r="C12" s="2" t="s">
        <v>8</v>
      </c>
      <c r="D12" s="2" t="s">
        <v>14</v>
      </c>
      <c r="E12" s="2" t="s">
        <v>25</v>
      </c>
    </row>
    <row r="13" ht="15" customHeight="1">
      <c r="A13" s="3" t="s">
        <v>28</v>
      </c>
      <c r="B13" s="3">
        <f>COUNTIF('Task Tracker'!C:C,A13)</f>
        <v>17</v>
      </c>
      <c r="C13" s="3">
        <f>_xlfn.COUNTIFS('Task Tracker'!C:C,A13,'Task Tracker'!G:G,"Done")</f>
        <v>0</v>
      </c>
      <c r="D13" s="3">
        <f>_xlfn.COUNTIFS('Task Tracker'!C:C,A13,'Task Tracker'!G:G,"Blocked")</f>
        <v>0</v>
      </c>
      <c r="E13" s="5">
        <f t="shared" si="1" ref="E13:E24">IF(B13=0,0,C13/B13)</f>
        <v>0</v>
      </c>
    </row>
    <row r="14" ht="15" customHeight="1">
      <c r="A14" s="3" t="s">
        <v>29</v>
      </c>
      <c r="B14" s="3">
        <f>COUNTIF('Task Tracker'!C:C,A14)</f>
        <v>12</v>
      </c>
      <c r="C14" s="3">
        <f>_xlfn.COUNTIFS('Task Tracker'!C:C,A14,'Task Tracker'!G:G,"Done")</f>
        <v>0</v>
      </c>
      <c r="D14" s="3">
        <f>_xlfn.COUNTIFS('Task Tracker'!C:C,A14,'Task Tracker'!G:G,"Blocked")</f>
        <v>0</v>
      </c>
      <c r="E14" s="5">
        <f t="shared" si="1"/>
        <v>0</v>
      </c>
    </row>
    <row r="15" ht="15" customHeight="1">
      <c r="A15" s="3" t="s">
        <v>30</v>
      </c>
      <c r="B15" s="3">
        <f>COUNTIF('Task Tracker'!C:C,A15)</f>
        <v>4</v>
      </c>
      <c r="C15" s="3">
        <f>_xlfn.COUNTIFS('Task Tracker'!C:C,A15,'Task Tracker'!G:G,"Done")</f>
        <v>0</v>
      </c>
      <c r="D15" s="3">
        <f>_xlfn.COUNTIFS('Task Tracker'!C:C,A15,'Task Tracker'!G:G,"Blocked")</f>
        <v>0</v>
      </c>
      <c r="E15" s="5">
        <f t="shared" si="1"/>
        <v>0</v>
      </c>
    </row>
    <row r="16" ht="15" customHeight="1">
      <c r="A16" s="3" t="s">
        <v>31</v>
      </c>
      <c r="B16" s="3">
        <f>COUNTIF('Task Tracker'!C:C,A16)</f>
        <v>6</v>
      </c>
      <c r="C16" s="3">
        <f>_xlfn.COUNTIFS('Task Tracker'!C:C,A16,'Task Tracker'!G:G,"Done")</f>
        <v>0</v>
      </c>
      <c r="D16" s="3">
        <f>_xlfn.COUNTIFS('Task Tracker'!C:C,A16,'Task Tracker'!G:G,"Blocked")</f>
        <v>0</v>
      </c>
      <c r="E16" s="5">
        <f t="shared" si="1"/>
        <v>0</v>
      </c>
    </row>
    <row r="17" ht="15" customHeight="1">
      <c r="A17" s="3" t="s">
        <v>32</v>
      </c>
      <c r="B17" s="3">
        <f>COUNTIF('Task Tracker'!C:C,A17)</f>
        <v>4</v>
      </c>
      <c r="C17" s="3">
        <f>_xlfn.COUNTIFS('Task Tracker'!C:C,A17,'Task Tracker'!G:G,"Done")</f>
        <v>0</v>
      </c>
      <c r="D17" s="3">
        <f>_xlfn.COUNTIFS('Task Tracker'!C:C,A17,'Task Tracker'!G:G,"Blocked")</f>
        <v>0</v>
      </c>
      <c r="E17" s="5">
        <f t="shared" si="1"/>
        <v>0</v>
      </c>
    </row>
    <row r="18" ht="15" customHeight="1">
      <c r="A18" s="3" t="s">
        <v>13</v>
      </c>
      <c r="B18" s="3">
        <f>COUNTIF('Task Tracker'!C:C,A18)</f>
        <v>4</v>
      </c>
      <c r="C18" s="3">
        <f>_xlfn.COUNTIFS('Task Tracker'!C:C,A18,'Task Tracker'!G:G,"Done")</f>
        <v>0</v>
      </c>
      <c r="D18" s="3">
        <f>_xlfn.COUNTIFS('Task Tracker'!C:C,A18,'Task Tracker'!G:G,"Blocked")</f>
        <v>0</v>
      </c>
      <c r="E18" s="5">
        <f t="shared" si="1"/>
        <v>0</v>
      </c>
    </row>
    <row r="19" ht="15" customHeight="1">
      <c r="A19" s="3" t="s">
        <v>33</v>
      </c>
      <c r="B19" s="3">
        <f>COUNTIF('Task Tracker'!C:C,A19)</f>
        <v>1</v>
      </c>
      <c r="C19" s="3">
        <f>_xlfn.COUNTIFS('Task Tracker'!C:C,A19,'Task Tracker'!G:G,"Done")</f>
        <v>0</v>
      </c>
      <c r="D19" s="3">
        <f>_xlfn.COUNTIFS('Task Tracker'!C:C,A19,'Task Tracker'!G:G,"Blocked")</f>
        <v>0</v>
      </c>
      <c r="E19" s="5">
        <f t="shared" si="1"/>
        <v>0</v>
      </c>
    </row>
    <row r="20" ht="15" customHeight="1">
      <c r="A20" s="3" t="s">
        <v>34</v>
      </c>
      <c r="B20" s="3">
        <f>COUNTIF('Task Tracker'!C:C,A20)</f>
        <v>8</v>
      </c>
      <c r="C20" s="3">
        <f>_xlfn.COUNTIFS('Task Tracker'!C:C,A20,'Task Tracker'!G:G,"Done")</f>
        <v>0</v>
      </c>
      <c r="D20" s="3">
        <f>_xlfn.COUNTIFS('Task Tracker'!C:C,A20,'Task Tracker'!G:G,"Blocked")</f>
        <v>0</v>
      </c>
      <c r="E20" s="5">
        <f t="shared" si="1"/>
        <v>0</v>
      </c>
    </row>
    <row r="21" ht="15" customHeight="1">
      <c r="A21" s="3" t="s">
        <v>35</v>
      </c>
      <c r="B21" s="3">
        <f>COUNTIF('Task Tracker'!C:C,A21)</f>
        <v>4</v>
      </c>
      <c r="C21" s="3">
        <f>_xlfn.COUNTIFS('Task Tracker'!C:C,A21,'Task Tracker'!G:G,"Done")</f>
        <v>0</v>
      </c>
      <c r="D21" s="3">
        <f>_xlfn.COUNTIFS('Task Tracker'!C:C,A21,'Task Tracker'!G:G,"Blocked")</f>
        <v>0</v>
      </c>
      <c r="E21" s="5">
        <f t="shared" si="1"/>
        <v>0</v>
      </c>
    </row>
    <row r="22" ht="15" customHeight="1">
      <c r="A22" s="3" t="s">
        <v>36</v>
      </c>
      <c r="B22" s="3">
        <f>COUNTIF('Task Tracker'!C:C,A22)</f>
        <v>2</v>
      </c>
      <c r="C22" s="3">
        <f>_xlfn.COUNTIFS('Task Tracker'!C:C,A22,'Task Tracker'!G:G,"Done")</f>
        <v>0</v>
      </c>
      <c r="D22" s="3">
        <f>_xlfn.COUNTIFS('Task Tracker'!C:C,A22,'Task Tracker'!G:G,"Blocked")</f>
        <v>0</v>
      </c>
      <c r="E22" s="5">
        <f t="shared" si="1"/>
        <v>0</v>
      </c>
    </row>
    <row r="23" ht="15" customHeight="1">
      <c r="A23" s="3" t="s">
        <v>37</v>
      </c>
      <c r="B23" s="3">
        <f>COUNTIF('Task Tracker'!C:C,A23)</f>
        <v>1</v>
      </c>
      <c r="C23" s="3">
        <f>_xlfn.COUNTIFS('Task Tracker'!C:C,A23,'Task Tracker'!G:G,"Done")</f>
        <v>0</v>
      </c>
      <c r="D23" s="3">
        <f>_xlfn.COUNTIFS('Task Tracker'!C:C,A23,'Task Tracker'!G:G,"Blocked")</f>
        <v>0</v>
      </c>
      <c r="E23" s="5">
        <f t="shared" si="1"/>
        <v>0</v>
      </c>
    </row>
    <row r="24" ht="15" customHeight="1">
      <c r="A24" s="3" t="s">
        <v>38</v>
      </c>
      <c r="B24" s="3">
        <f>COUNTIF('Task Tracker'!C:C,A24)</f>
        <v>2</v>
      </c>
      <c r="C24" s="3">
        <f>_xlfn.COUNTIFS('Task Tracker'!C:C,A24,'Task Tracker'!G:G,"Done")</f>
        <v>0</v>
      </c>
      <c r="D24" s="3">
        <f>_xlfn.COUNTIFS('Task Tracker'!C:C,A24,'Task Tracker'!G:G,"Blocked")</f>
        <v>0</v>
      </c>
      <c r="E24" s="5">
        <f t="shared" si="1"/>
        <v>0</v>
      </c>
    </row>
    <row r="25" ht="15" customHeight="1">
      <c r="A25" s="3"/>
      <c r="B25" s="3"/>
      <c r="C25" s="3"/>
      <c r="D25" s="3"/>
      <c r="E25" s="3"/>
    </row>
  </sheetData>
  <mergeCells>
    <mergeCell ref="A1:H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95CCCA-3414-49DA-B378-CFA3C6F3BDCE}" mc:Ignorable="x14ac xr xr2 xr3">
  <dimension ref="A1:T200"/>
  <sheetViews>
    <sheetView topLeftCell="A1" workbookViewId="0">
      <selection activeCell="A1" sqref="A1"/>
    </sheetView>
  </sheetViews>
  <sheetFormatPr defaultRowHeight="15" defaultColWidth="9.140625" customHeight="1"/>
  <cols>
    <col min="1" max="1" width="12.00390625" customWidth="1"/>
    <col min="2" max="2" width="20.00390625" customWidth="1"/>
    <col min="3" max="3" width="16.00390625" customWidth="1"/>
    <col min="4" max="4" width="32.00390625" customWidth="1"/>
    <col min="5" max="5" width="46.00390625" customWidth="1"/>
    <col min="6" max="6" width="10.00390625" customWidth="1"/>
    <col min="7" max="7" width="14.00390625" customWidth="1"/>
    <col min="8" max="10" width="12.00390625" customWidth="1"/>
    <col min="11" max="11" width="22.00390625" customWidth="1"/>
    <col min="12" max="12" width="28.00390625" customWidth="1"/>
    <col min="13" max="13" width="16.00390625" customWidth="1"/>
  </cols>
  <sheetData>
    <row r="1" ht="32.25" customHeight="1">
      <c r="A1" s="6" t="s">
        <v>39</v>
      </c>
      <c r="B1" s="6" t="s">
        <v>40</v>
      </c>
      <c r="C1" s="6" t="s">
        <v>26</v>
      </c>
      <c r="D1" s="6" t="s">
        <v>41</v>
      </c>
      <c r="E1" s="6" t="s">
        <v>42</v>
      </c>
      <c r="F1" s="6" t="s">
        <v>43</v>
      </c>
      <c r="G1" s="6" t="s">
        <v>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</row>
    <row r="2" ht="45.75" customHeight="1">
      <c r="A2" s="7" t="s">
        <v>50</v>
      </c>
      <c r="B2" s="7" t="s">
        <v>51</v>
      </c>
      <c r="C2" s="7" t="s">
        <v>30</v>
      </c>
      <c r="D2" s="7" t="s">
        <v>52</v>
      </c>
      <c r="E2" s="7" t="s">
        <v>53</v>
      </c>
      <c r="F2" s="7" t="s">
        <v>54</v>
      </c>
      <c r="G2" s="7" t="s">
        <v>20</v>
      </c>
      <c r="H2" s="7" t="s">
        <v>55</v>
      </c>
      <c r="I2" s="7">
        <v>0.5</v>
      </c>
      <c r="J2" s="7" t="s">
        <v>56</v>
      </c>
      <c r="K2" s="7"/>
      <c r="L2" s="7"/>
      <c r="M2" s="7"/>
    </row>
    <row r="3" ht="45.75" customHeight="1">
      <c r="A3" s="8" t="s">
        <v>57</v>
      </c>
      <c r="B3" s="8" t="s">
        <v>51</v>
      </c>
      <c r="C3" s="8" t="s">
        <v>28</v>
      </c>
      <c r="D3" s="8" t="s">
        <v>58</v>
      </c>
      <c r="E3" s="8" t="s">
        <v>59</v>
      </c>
      <c r="F3" s="8" t="s">
        <v>54</v>
      </c>
      <c r="G3" s="8" t="s">
        <v>20</v>
      </c>
      <c r="H3" s="8" t="s">
        <v>55</v>
      </c>
      <c r="I3" s="8">
        <v>0.5</v>
      </c>
      <c r="J3" s="8" t="s">
        <v>56</v>
      </c>
      <c r="K3" s="8" t="s">
        <v>50</v>
      </c>
      <c r="L3" s="8"/>
      <c r="M3" s="8"/>
    </row>
    <row r="4" ht="45.75" customHeight="1">
      <c r="A4" s="7" t="s">
        <v>60</v>
      </c>
      <c r="B4" s="7" t="s">
        <v>51</v>
      </c>
      <c r="C4" s="7" t="s">
        <v>29</v>
      </c>
      <c r="D4" s="7" t="s">
        <v>61</v>
      </c>
      <c r="E4" s="7" t="s">
        <v>62</v>
      </c>
      <c r="F4" s="7" t="s">
        <v>54</v>
      </c>
      <c r="G4" s="7" t="s">
        <v>20</v>
      </c>
      <c r="H4" s="7" t="s">
        <v>55</v>
      </c>
      <c r="I4" s="7">
        <v>0.5</v>
      </c>
      <c r="J4" s="7" t="s">
        <v>56</v>
      </c>
      <c r="K4" s="7" t="s">
        <v>50</v>
      </c>
      <c r="L4" s="7"/>
      <c r="M4" s="7"/>
    </row>
    <row r="5" ht="45.75" customHeight="1">
      <c r="A5" s="8" t="s">
        <v>63</v>
      </c>
      <c r="B5" s="8" t="s">
        <v>51</v>
      </c>
      <c r="C5" s="8" t="s">
        <v>30</v>
      </c>
      <c r="D5" s="8" t="s">
        <v>64</v>
      </c>
      <c r="E5" s="8" t="s">
        <v>65</v>
      </c>
      <c r="F5" s="8" t="s">
        <v>54</v>
      </c>
      <c r="G5" s="8" t="s">
        <v>20</v>
      </c>
      <c r="H5" s="8" t="s">
        <v>55</v>
      </c>
      <c r="I5" s="8">
        <v>0.5</v>
      </c>
      <c r="J5" s="8" t="s">
        <v>56</v>
      </c>
      <c r="K5" s="8" t="s">
        <v>66</v>
      </c>
      <c r="L5" s="8"/>
      <c r="M5" s="8"/>
    </row>
    <row r="6" ht="45.75" customHeight="1">
      <c r="A6" s="7" t="s">
        <v>67</v>
      </c>
      <c r="B6" s="7" t="s">
        <v>51</v>
      </c>
      <c r="C6" s="7" t="s">
        <v>30</v>
      </c>
      <c r="D6" s="7" t="s">
        <v>68</v>
      </c>
      <c r="E6" s="7" t="s">
        <v>69</v>
      </c>
      <c r="F6" s="7" t="s">
        <v>54</v>
      </c>
      <c r="G6" s="7" t="s">
        <v>20</v>
      </c>
      <c r="H6" s="7" t="s">
        <v>55</v>
      </c>
      <c r="I6" s="7">
        <v>0.3</v>
      </c>
      <c r="J6" s="7" t="s">
        <v>56</v>
      </c>
      <c r="K6" s="7" t="s">
        <v>63</v>
      </c>
      <c r="L6" s="7"/>
      <c r="M6" s="7"/>
    </row>
    <row r="7" ht="45.75" customHeight="1">
      <c r="A7" s="8" t="s">
        <v>70</v>
      </c>
      <c r="B7" s="8" t="s">
        <v>51</v>
      </c>
      <c r="C7" s="8" t="s">
        <v>34</v>
      </c>
      <c r="D7" s="8" t="s">
        <v>71</v>
      </c>
      <c r="E7" s="8" t="s">
        <v>72</v>
      </c>
      <c r="F7" s="8" t="s">
        <v>73</v>
      </c>
      <c r="G7" s="8" t="s">
        <v>20</v>
      </c>
      <c r="H7" s="8" t="s">
        <v>55</v>
      </c>
      <c r="I7" s="8">
        <v>0.3</v>
      </c>
      <c r="J7" s="8" t="s">
        <v>56</v>
      </c>
      <c r="K7" s="8" t="s">
        <v>50</v>
      </c>
      <c r="L7" s="8"/>
      <c r="M7" s="8"/>
    </row>
    <row r="8" ht="45.75" customHeight="1">
      <c r="A8" s="7" t="s">
        <v>74</v>
      </c>
      <c r="B8" s="7" t="s">
        <v>75</v>
      </c>
      <c r="C8" s="7" t="s">
        <v>28</v>
      </c>
      <c r="D8" s="7" t="s">
        <v>76</v>
      </c>
      <c r="E8" s="7" t="s">
        <v>77</v>
      </c>
      <c r="F8" s="7" t="s">
        <v>54</v>
      </c>
      <c r="G8" s="7" t="s">
        <v>20</v>
      </c>
      <c r="H8" s="7" t="s">
        <v>55</v>
      </c>
      <c r="I8" s="7">
        <v>0.5</v>
      </c>
      <c r="J8" s="7" t="s">
        <v>56</v>
      </c>
      <c r="K8" s="7" t="s">
        <v>57</v>
      </c>
      <c r="L8" s="7"/>
      <c r="M8" s="7"/>
    </row>
    <row r="9" ht="45.75" customHeight="1">
      <c r="A9" s="8" t="s">
        <v>78</v>
      </c>
      <c r="B9" s="8" t="s">
        <v>75</v>
      </c>
      <c r="C9" s="8" t="s">
        <v>28</v>
      </c>
      <c r="D9" s="8" t="s">
        <v>79</v>
      </c>
      <c r="E9" s="8" t="s">
        <v>80</v>
      </c>
      <c r="F9" s="8" t="s">
        <v>73</v>
      </c>
      <c r="G9" s="8" t="s">
        <v>20</v>
      </c>
      <c r="H9" s="8" t="s">
        <v>55</v>
      </c>
      <c r="I9" s="8">
        <v>0.4</v>
      </c>
      <c r="J9" s="8" t="s">
        <v>81</v>
      </c>
      <c r="K9" s="8" t="s">
        <v>74</v>
      </c>
      <c r="L9" s="8"/>
      <c r="M9" s="8"/>
    </row>
    <row r="10" ht="45.75" customHeight="1">
      <c r="A10" s="7" t="s">
        <v>82</v>
      </c>
      <c r="B10" s="7" t="s">
        <v>75</v>
      </c>
      <c r="C10" s="7" t="s">
        <v>29</v>
      </c>
      <c r="D10" s="7" t="s">
        <v>83</v>
      </c>
      <c r="E10" s="7" t="s">
        <v>84</v>
      </c>
      <c r="F10" s="7" t="s">
        <v>73</v>
      </c>
      <c r="G10" s="7" t="s">
        <v>20</v>
      </c>
      <c r="H10" s="7" t="s">
        <v>55</v>
      </c>
      <c r="I10" s="7">
        <v>0.5</v>
      </c>
      <c r="J10" s="7" t="s">
        <v>81</v>
      </c>
      <c r="K10" s="7" t="s">
        <v>85</v>
      </c>
      <c r="L10" s="7"/>
      <c r="M10" s="7"/>
    </row>
    <row r="11" ht="45.75" customHeight="1">
      <c r="A11" s="8" t="s">
        <v>86</v>
      </c>
      <c r="B11" s="8" t="s">
        <v>87</v>
      </c>
      <c r="C11" s="8" t="s">
        <v>13</v>
      </c>
      <c r="D11" s="8" t="s">
        <v>88</v>
      </c>
      <c r="E11" s="8" t="s">
        <v>89</v>
      </c>
      <c r="F11" s="8" t="s">
        <v>54</v>
      </c>
      <c r="G11" s="8" t="s">
        <v>20</v>
      </c>
      <c r="H11" s="8" t="s">
        <v>55</v>
      </c>
      <c r="I11" s="8">
        <v>0.5</v>
      </c>
      <c r="J11" s="8" t="s">
        <v>81</v>
      </c>
      <c r="K11" s="8" t="s">
        <v>74</v>
      </c>
      <c r="L11" s="8"/>
      <c r="M11" s="8"/>
    </row>
    <row r="12" ht="45.75" customHeight="1">
      <c r="A12" s="7" t="s">
        <v>90</v>
      </c>
      <c r="B12" s="7" t="s">
        <v>87</v>
      </c>
      <c r="C12" s="7" t="s">
        <v>13</v>
      </c>
      <c r="D12" s="7" t="s">
        <v>91</v>
      </c>
      <c r="E12" s="7" t="s">
        <v>92</v>
      </c>
      <c r="F12" s="7" t="s">
        <v>73</v>
      </c>
      <c r="G12" s="7" t="s">
        <v>20</v>
      </c>
      <c r="H12" s="7" t="s">
        <v>55</v>
      </c>
      <c r="I12" s="7">
        <v>0.4</v>
      </c>
      <c r="J12" s="7" t="s">
        <v>81</v>
      </c>
      <c r="K12" s="7" t="s">
        <v>86</v>
      </c>
      <c r="L12" s="7"/>
      <c r="M12" s="7"/>
    </row>
    <row r="13" ht="45.75" customHeight="1">
      <c r="A13" s="8" t="s">
        <v>93</v>
      </c>
      <c r="B13" s="8" t="s">
        <v>87</v>
      </c>
      <c r="C13" s="8" t="s">
        <v>13</v>
      </c>
      <c r="D13" s="8" t="s">
        <v>94</v>
      </c>
      <c r="E13" s="8" t="s">
        <v>95</v>
      </c>
      <c r="F13" s="8" t="s">
        <v>54</v>
      </c>
      <c r="G13" s="8" t="s">
        <v>20</v>
      </c>
      <c r="H13" s="8" t="s">
        <v>55</v>
      </c>
      <c r="I13" s="8">
        <v>1</v>
      </c>
      <c r="J13" s="8" t="s">
        <v>81</v>
      </c>
      <c r="K13" s="8" t="s">
        <v>90</v>
      </c>
      <c r="L13" s="8"/>
      <c r="M13" s="8"/>
    </row>
    <row r="14" ht="45.75" customHeight="1">
      <c r="A14" s="7" t="s">
        <v>96</v>
      </c>
      <c r="B14" s="7" t="s">
        <v>87</v>
      </c>
      <c r="C14" s="7" t="s">
        <v>13</v>
      </c>
      <c r="D14" s="7" t="s">
        <v>97</v>
      </c>
      <c r="E14" s="7" t="s">
        <v>98</v>
      </c>
      <c r="F14" s="7" t="s">
        <v>54</v>
      </c>
      <c r="G14" s="7" t="s">
        <v>20</v>
      </c>
      <c r="H14" s="7" t="s">
        <v>55</v>
      </c>
      <c r="I14" s="7">
        <v>0.4</v>
      </c>
      <c r="J14" s="7" t="s">
        <v>81</v>
      </c>
      <c r="K14" s="7" t="s">
        <v>93</v>
      </c>
      <c r="L14" s="7"/>
      <c r="M14" s="7"/>
    </row>
    <row r="15" ht="45.75" customHeight="1">
      <c r="A15" s="8" t="s">
        <v>99</v>
      </c>
      <c r="B15" s="8" t="s">
        <v>100</v>
      </c>
      <c r="C15" s="8" t="s">
        <v>32</v>
      </c>
      <c r="D15" s="8" t="s">
        <v>101</v>
      </c>
      <c r="E15" s="8" t="s">
        <v>102</v>
      </c>
      <c r="F15" s="8" t="s">
        <v>54</v>
      </c>
      <c r="G15" s="8" t="s">
        <v>20</v>
      </c>
      <c r="H15" s="8" t="s">
        <v>55</v>
      </c>
      <c r="I15" s="8">
        <v>0.4</v>
      </c>
      <c r="J15" s="8" t="s">
        <v>103</v>
      </c>
      <c r="K15" s="8" t="s">
        <v>74</v>
      </c>
      <c r="L15" s="8"/>
      <c r="M15" s="8"/>
    </row>
    <row r="16" ht="45.75" customHeight="1">
      <c r="A16" s="7" t="s">
        <v>104</v>
      </c>
      <c r="B16" s="7" t="s">
        <v>100</v>
      </c>
      <c r="C16" s="7" t="s">
        <v>32</v>
      </c>
      <c r="D16" s="7" t="s">
        <v>105</v>
      </c>
      <c r="E16" s="7" t="s">
        <v>106</v>
      </c>
      <c r="F16" s="7" t="s">
        <v>54</v>
      </c>
      <c r="G16" s="7" t="s">
        <v>20</v>
      </c>
      <c r="H16" s="7" t="s">
        <v>55</v>
      </c>
      <c r="I16" s="7">
        <v>1</v>
      </c>
      <c r="J16" s="7" t="s">
        <v>103</v>
      </c>
      <c r="K16" s="7" t="s">
        <v>99</v>
      </c>
      <c r="L16" s="7"/>
      <c r="M16" s="7"/>
    </row>
    <row r="17" ht="45.75" customHeight="1">
      <c r="A17" s="8" t="s">
        <v>107</v>
      </c>
      <c r="B17" s="8" t="s">
        <v>100</v>
      </c>
      <c r="C17" s="8" t="s">
        <v>32</v>
      </c>
      <c r="D17" s="8" t="s">
        <v>108</v>
      </c>
      <c r="E17" s="8" t="s">
        <v>109</v>
      </c>
      <c r="F17" s="8" t="s">
        <v>54</v>
      </c>
      <c r="G17" s="8" t="s">
        <v>20</v>
      </c>
      <c r="H17" s="8" t="s">
        <v>55</v>
      </c>
      <c r="I17" s="8">
        <v>0.5</v>
      </c>
      <c r="J17" s="8" t="s">
        <v>103</v>
      </c>
      <c r="K17" s="8" t="s">
        <v>110</v>
      </c>
      <c r="L17" s="8"/>
      <c r="M17" s="8"/>
    </row>
    <row r="18" ht="45.75" customHeight="1">
      <c r="A18" s="7" t="s">
        <v>111</v>
      </c>
      <c r="B18" s="7" t="s">
        <v>100</v>
      </c>
      <c r="C18" s="7" t="s">
        <v>32</v>
      </c>
      <c r="D18" s="7" t="s">
        <v>112</v>
      </c>
      <c r="E18" s="7" t="s">
        <v>113</v>
      </c>
      <c r="F18" s="7" t="s">
        <v>114</v>
      </c>
      <c r="G18" s="7" t="s">
        <v>20</v>
      </c>
      <c r="H18" s="7" t="s">
        <v>55</v>
      </c>
      <c r="I18" s="7">
        <v>0.6</v>
      </c>
      <c r="J18" s="7" t="s">
        <v>103</v>
      </c>
      <c r="K18" s="7" t="s">
        <v>107</v>
      </c>
      <c r="L18" s="7"/>
      <c r="M18" s="7"/>
    </row>
    <row r="19" ht="45.75" customHeight="1">
      <c r="A19" s="8" t="s">
        <v>115</v>
      </c>
      <c r="B19" s="8" t="s">
        <v>116</v>
      </c>
      <c r="C19" s="8" t="s">
        <v>28</v>
      </c>
      <c r="D19" s="8" t="s">
        <v>117</v>
      </c>
      <c r="E19" s="8" t="s">
        <v>118</v>
      </c>
      <c r="F19" s="8" t="s">
        <v>54</v>
      </c>
      <c r="G19" s="8" t="s">
        <v>20</v>
      </c>
      <c r="H19" s="8" t="s">
        <v>55</v>
      </c>
      <c r="I19" s="8">
        <v>0.4</v>
      </c>
      <c r="J19" s="8" t="s">
        <v>103</v>
      </c>
      <c r="K19" s="8" t="s">
        <v>74</v>
      </c>
      <c r="L19" s="8"/>
      <c r="M19" s="8"/>
    </row>
    <row r="20" ht="45.75" customHeight="1">
      <c r="A20" s="7" t="s">
        <v>119</v>
      </c>
      <c r="B20" s="7" t="s">
        <v>116</v>
      </c>
      <c r="C20" s="7" t="s">
        <v>28</v>
      </c>
      <c r="D20" s="7" t="s">
        <v>120</v>
      </c>
      <c r="E20" s="7" t="s">
        <v>121</v>
      </c>
      <c r="F20" s="7" t="s">
        <v>54</v>
      </c>
      <c r="G20" s="7" t="s">
        <v>20</v>
      </c>
      <c r="H20" s="7" t="s">
        <v>55</v>
      </c>
      <c r="I20" s="7">
        <v>1</v>
      </c>
      <c r="J20" s="7" t="s">
        <v>103</v>
      </c>
      <c r="K20" s="7" t="s">
        <v>115</v>
      </c>
      <c r="L20" s="7"/>
      <c r="M20" s="7"/>
    </row>
    <row r="21" ht="45.75" customHeight="1">
      <c r="A21" s="8" t="s">
        <v>122</v>
      </c>
      <c r="B21" s="8" t="s">
        <v>116</v>
      </c>
      <c r="C21" s="8" t="s">
        <v>28</v>
      </c>
      <c r="D21" s="8" t="s">
        <v>123</v>
      </c>
      <c r="E21" s="8" t="s">
        <v>124</v>
      </c>
      <c r="F21" s="8" t="s">
        <v>54</v>
      </c>
      <c r="G21" s="8" t="s">
        <v>20</v>
      </c>
      <c r="H21" s="8" t="s">
        <v>55</v>
      </c>
      <c r="I21" s="8">
        <v>0.5</v>
      </c>
      <c r="J21" s="8" t="s">
        <v>103</v>
      </c>
      <c r="K21" s="8" t="s">
        <v>119</v>
      </c>
      <c r="L21" s="8"/>
      <c r="M21" s="8"/>
    </row>
    <row r="22" ht="45.75" customHeight="1">
      <c r="A22" s="7" t="s">
        <v>125</v>
      </c>
      <c r="B22" s="7" t="s">
        <v>116</v>
      </c>
      <c r="C22" s="7" t="s">
        <v>28</v>
      </c>
      <c r="D22" s="7" t="s">
        <v>126</v>
      </c>
      <c r="E22" s="7" t="s">
        <v>127</v>
      </c>
      <c r="F22" s="7" t="s">
        <v>114</v>
      </c>
      <c r="G22" s="7" t="s">
        <v>20</v>
      </c>
      <c r="H22" s="7" t="s">
        <v>55</v>
      </c>
      <c r="I22" s="7">
        <v>0.5</v>
      </c>
      <c r="J22" s="7" t="s">
        <v>128</v>
      </c>
      <c r="K22" s="7" t="s">
        <v>122</v>
      </c>
      <c r="L22" s="7"/>
      <c r="M22" s="7"/>
    </row>
    <row r="23" ht="45.75" customHeight="1">
      <c r="A23" s="8" t="s">
        <v>129</v>
      </c>
      <c r="B23" s="8" t="s">
        <v>130</v>
      </c>
      <c r="C23" s="8" t="s">
        <v>28</v>
      </c>
      <c r="D23" s="8" t="s">
        <v>131</v>
      </c>
      <c r="E23" s="8" t="s">
        <v>132</v>
      </c>
      <c r="F23" s="8" t="s">
        <v>54</v>
      </c>
      <c r="G23" s="8" t="s">
        <v>20</v>
      </c>
      <c r="H23" s="8" t="s">
        <v>55</v>
      </c>
      <c r="I23" s="8">
        <v>0.5</v>
      </c>
      <c r="J23" s="8" t="s">
        <v>128</v>
      </c>
      <c r="K23" s="8" t="s">
        <v>93</v>
      </c>
      <c r="L23" s="8"/>
      <c r="M23" s="8"/>
    </row>
    <row r="24" ht="45.75" customHeight="1">
      <c r="A24" s="7" t="s">
        <v>133</v>
      </c>
      <c r="B24" s="7" t="s">
        <v>130</v>
      </c>
      <c r="C24" s="7" t="s">
        <v>28</v>
      </c>
      <c r="D24" s="7" t="s">
        <v>134</v>
      </c>
      <c r="E24" s="7" t="s">
        <v>135</v>
      </c>
      <c r="F24" s="7" t="s">
        <v>54</v>
      </c>
      <c r="G24" s="7" t="s">
        <v>20</v>
      </c>
      <c r="H24" s="7" t="s">
        <v>55</v>
      </c>
      <c r="I24" s="7">
        <v>1</v>
      </c>
      <c r="J24" s="7" t="s">
        <v>128</v>
      </c>
      <c r="K24" s="7" t="s">
        <v>129</v>
      </c>
      <c r="L24" s="7"/>
      <c r="M24" s="7"/>
    </row>
    <row r="25" ht="45.75" customHeight="1">
      <c r="A25" s="8" t="s">
        <v>136</v>
      </c>
      <c r="B25" s="8" t="s">
        <v>130</v>
      </c>
      <c r="C25" s="8" t="s">
        <v>28</v>
      </c>
      <c r="D25" s="8" t="s">
        <v>137</v>
      </c>
      <c r="E25" s="8" t="s">
        <v>138</v>
      </c>
      <c r="F25" s="8" t="s">
        <v>54</v>
      </c>
      <c r="G25" s="8" t="s">
        <v>20</v>
      </c>
      <c r="H25" s="8" t="s">
        <v>55</v>
      </c>
      <c r="I25" s="8">
        <v>1</v>
      </c>
      <c r="J25" s="8" t="s">
        <v>128</v>
      </c>
      <c r="K25" s="8" t="s">
        <v>133</v>
      </c>
      <c r="L25" s="8"/>
      <c r="M25" s="8"/>
    </row>
    <row r="26" ht="45.75" customHeight="1">
      <c r="A26" s="7" t="s">
        <v>139</v>
      </c>
      <c r="B26" s="7" t="s">
        <v>130</v>
      </c>
      <c r="C26" s="7" t="s">
        <v>28</v>
      </c>
      <c r="D26" s="7" t="s">
        <v>140</v>
      </c>
      <c r="E26" s="7" t="s">
        <v>141</v>
      </c>
      <c r="F26" s="7" t="s">
        <v>54</v>
      </c>
      <c r="G26" s="7" t="s">
        <v>20</v>
      </c>
      <c r="H26" s="7" t="s">
        <v>55</v>
      </c>
      <c r="I26" s="7">
        <v>0.7</v>
      </c>
      <c r="J26" s="7" t="s">
        <v>128</v>
      </c>
      <c r="K26" s="7" t="s">
        <v>136</v>
      </c>
      <c r="L26" s="7"/>
      <c r="M26" s="7"/>
    </row>
    <row r="27" ht="45.75" customHeight="1">
      <c r="A27" s="8" t="s">
        <v>142</v>
      </c>
      <c r="B27" s="8" t="s">
        <v>130</v>
      </c>
      <c r="C27" s="8" t="s">
        <v>28</v>
      </c>
      <c r="D27" s="8" t="s">
        <v>143</v>
      </c>
      <c r="E27" s="8" t="s">
        <v>144</v>
      </c>
      <c r="F27" s="8" t="s">
        <v>54</v>
      </c>
      <c r="G27" s="8" t="s">
        <v>20</v>
      </c>
      <c r="H27" s="8" t="s">
        <v>55</v>
      </c>
      <c r="I27" s="8">
        <v>0.7</v>
      </c>
      <c r="J27" s="8" t="s">
        <v>128</v>
      </c>
      <c r="K27" s="8" t="s">
        <v>145</v>
      </c>
      <c r="L27" s="8"/>
      <c r="M27" s="8"/>
    </row>
    <row r="28" ht="45.75" customHeight="1">
      <c r="A28" s="7" t="s">
        <v>146</v>
      </c>
      <c r="B28" s="7" t="s">
        <v>130</v>
      </c>
      <c r="C28" s="7" t="s">
        <v>28</v>
      </c>
      <c r="D28" s="7" t="s">
        <v>147</v>
      </c>
      <c r="E28" s="7" t="s">
        <v>148</v>
      </c>
      <c r="F28" s="7" t="s">
        <v>54</v>
      </c>
      <c r="G28" s="7" t="s">
        <v>20</v>
      </c>
      <c r="H28" s="7" t="s">
        <v>55</v>
      </c>
      <c r="I28" s="7">
        <v>1</v>
      </c>
      <c r="J28" s="7" t="s">
        <v>149</v>
      </c>
      <c r="K28" s="7" t="s">
        <v>150</v>
      </c>
      <c r="L28" s="7"/>
      <c r="M28" s="7"/>
    </row>
    <row r="29" ht="45.75" customHeight="1">
      <c r="A29" s="8" t="s">
        <v>151</v>
      </c>
      <c r="B29" s="8" t="s">
        <v>130</v>
      </c>
      <c r="C29" s="8" t="s">
        <v>29</v>
      </c>
      <c r="D29" s="8" t="s">
        <v>152</v>
      </c>
      <c r="E29" s="8" t="s">
        <v>153</v>
      </c>
      <c r="F29" s="8" t="s">
        <v>73</v>
      </c>
      <c r="G29" s="8" t="s">
        <v>20</v>
      </c>
      <c r="H29" s="8" t="s">
        <v>55</v>
      </c>
      <c r="I29" s="8">
        <v>0.8</v>
      </c>
      <c r="J29" s="8" t="s">
        <v>149</v>
      </c>
      <c r="K29" s="8" t="s">
        <v>146</v>
      </c>
      <c r="L29" s="8"/>
      <c r="M29" s="8"/>
    </row>
    <row r="30" ht="45.75" customHeight="1">
      <c r="A30" s="7" t="s">
        <v>154</v>
      </c>
      <c r="B30" s="7" t="s">
        <v>155</v>
      </c>
      <c r="C30" s="7" t="s">
        <v>33</v>
      </c>
      <c r="D30" s="7" t="s">
        <v>156</v>
      </c>
      <c r="E30" s="7" t="s">
        <v>157</v>
      </c>
      <c r="F30" s="7" t="s">
        <v>54</v>
      </c>
      <c r="G30" s="7" t="s">
        <v>20</v>
      </c>
      <c r="H30" s="7" t="s">
        <v>55</v>
      </c>
      <c r="I30" s="7">
        <v>0.4</v>
      </c>
      <c r="J30" s="7" t="s">
        <v>149</v>
      </c>
      <c r="K30" s="7" t="s">
        <v>70</v>
      </c>
      <c r="L30" s="7"/>
      <c r="M30" s="7"/>
    </row>
    <row r="31" ht="45.75" customHeight="1">
      <c r="A31" s="8" t="s">
        <v>158</v>
      </c>
      <c r="B31" s="8" t="s">
        <v>155</v>
      </c>
      <c r="C31" s="8" t="s">
        <v>29</v>
      </c>
      <c r="D31" s="8" t="s">
        <v>159</v>
      </c>
      <c r="E31" s="8" t="s">
        <v>160</v>
      </c>
      <c r="F31" s="8" t="s">
        <v>54</v>
      </c>
      <c r="G31" s="8" t="s">
        <v>20</v>
      </c>
      <c r="H31" s="8" t="s">
        <v>55</v>
      </c>
      <c r="I31" s="8">
        <v>0.8</v>
      </c>
      <c r="J31" s="8" t="s">
        <v>149</v>
      </c>
      <c r="K31" s="8" t="s">
        <v>161</v>
      </c>
      <c r="L31" s="8"/>
      <c r="M31" s="8"/>
    </row>
    <row r="32" ht="45.75" customHeight="1">
      <c r="A32" s="7" t="s">
        <v>162</v>
      </c>
      <c r="B32" s="7" t="s">
        <v>155</v>
      </c>
      <c r="C32" s="7" t="s">
        <v>29</v>
      </c>
      <c r="D32" s="7" t="s">
        <v>163</v>
      </c>
      <c r="E32" s="7" t="s">
        <v>164</v>
      </c>
      <c r="F32" s="7" t="s">
        <v>54</v>
      </c>
      <c r="G32" s="7" t="s">
        <v>20</v>
      </c>
      <c r="H32" s="7" t="s">
        <v>55</v>
      </c>
      <c r="I32" s="7">
        <v>1</v>
      </c>
      <c r="J32" s="7" t="s">
        <v>165</v>
      </c>
      <c r="K32" s="7" t="s">
        <v>158</v>
      </c>
      <c r="L32" s="7"/>
      <c r="M32" s="7"/>
    </row>
    <row r="33" ht="45.75" customHeight="1">
      <c r="A33" s="8" t="s">
        <v>166</v>
      </c>
      <c r="B33" s="8" t="s">
        <v>155</v>
      </c>
      <c r="C33" s="8" t="s">
        <v>28</v>
      </c>
      <c r="D33" s="8" t="s">
        <v>167</v>
      </c>
      <c r="E33" s="8" t="s">
        <v>168</v>
      </c>
      <c r="F33" s="8" t="s">
        <v>54</v>
      </c>
      <c r="G33" s="8" t="s">
        <v>20</v>
      </c>
      <c r="H33" s="8" t="s">
        <v>55</v>
      </c>
      <c r="I33" s="8">
        <v>1</v>
      </c>
      <c r="J33" s="8" t="s">
        <v>165</v>
      </c>
      <c r="K33" s="8" t="s">
        <v>169</v>
      </c>
      <c r="L33" s="8"/>
      <c r="M33" s="8"/>
    </row>
    <row r="34" ht="45.75" customHeight="1">
      <c r="A34" s="7" t="s">
        <v>170</v>
      </c>
      <c r="B34" s="7" t="s">
        <v>155</v>
      </c>
      <c r="C34" s="7" t="s">
        <v>28</v>
      </c>
      <c r="D34" s="7" t="s">
        <v>171</v>
      </c>
      <c r="E34" s="7" t="s">
        <v>172</v>
      </c>
      <c r="F34" s="7" t="s">
        <v>54</v>
      </c>
      <c r="G34" s="7" t="s">
        <v>20</v>
      </c>
      <c r="H34" s="7" t="s">
        <v>55</v>
      </c>
      <c r="I34" s="7">
        <v>0.8</v>
      </c>
      <c r="J34" s="7" t="s">
        <v>165</v>
      </c>
      <c r="K34" s="7" t="s">
        <v>173</v>
      </c>
      <c r="L34" s="7"/>
      <c r="M34" s="7"/>
    </row>
    <row r="35" ht="45.75" customHeight="1">
      <c r="A35" s="8" t="s">
        <v>174</v>
      </c>
      <c r="B35" s="8" t="s">
        <v>175</v>
      </c>
      <c r="C35" s="8" t="s">
        <v>31</v>
      </c>
      <c r="D35" s="8" t="s">
        <v>176</v>
      </c>
      <c r="E35" s="8" t="s">
        <v>177</v>
      </c>
      <c r="F35" s="8" t="s">
        <v>54</v>
      </c>
      <c r="G35" s="8" t="s">
        <v>20</v>
      </c>
      <c r="H35" s="8" t="s">
        <v>55</v>
      </c>
      <c r="I35" s="8">
        <v>0.4</v>
      </c>
      <c r="J35" s="8" t="s">
        <v>165</v>
      </c>
      <c r="K35" s="8" t="s">
        <v>93</v>
      </c>
      <c r="L35" s="8"/>
      <c r="M35" s="8"/>
    </row>
    <row r="36" ht="45.75" customHeight="1">
      <c r="A36" s="7" t="s">
        <v>178</v>
      </c>
      <c r="B36" s="7" t="s">
        <v>175</v>
      </c>
      <c r="C36" s="7" t="s">
        <v>31</v>
      </c>
      <c r="D36" s="7" t="s">
        <v>179</v>
      </c>
      <c r="E36" s="7" t="s">
        <v>180</v>
      </c>
      <c r="F36" s="7" t="s">
        <v>54</v>
      </c>
      <c r="G36" s="7" t="s">
        <v>20</v>
      </c>
      <c r="H36" s="7" t="s">
        <v>55</v>
      </c>
      <c r="I36" s="7">
        <v>0.8</v>
      </c>
      <c r="J36" s="7" t="s">
        <v>165</v>
      </c>
      <c r="K36" s="7" t="s">
        <v>181</v>
      </c>
      <c r="L36" s="7"/>
      <c r="M36" s="7"/>
    </row>
    <row r="37" ht="45.75" customHeight="1">
      <c r="A37" s="8" t="s">
        <v>182</v>
      </c>
      <c r="B37" s="8" t="s">
        <v>175</v>
      </c>
      <c r="C37" s="8" t="s">
        <v>31</v>
      </c>
      <c r="D37" s="8" t="s">
        <v>183</v>
      </c>
      <c r="E37" s="8" t="s">
        <v>184</v>
      </c>
      <c r="F37" s="8" t="s">
        <v>54</v>
      </c>
      <c r="G37" s="8" t="s">
        <v>20</v>
      </c>
      <c r="H37" s="8" t="s">
        <v>55</v>
      </c>
      <c r="I37" s="8">
        <v>0.8</v>
      </c>
      <c r="J37" s="8" t="s">
        <v>165</v>
      </c>
      <c r="K37" s="8" t="s">
        <v>178</v>
      </c>
      <c r="L37" s="8"/>
      <c r="M37" s="8"/>
    </row>
    <row r="38" ht="45.75" customHeight="1">
      <c r="A38" s="7" t="s">
        <v>185</v>
      </c>
      <c r="B38" s="7" t="s">
        <v>175</v>
      </c>
      <c r="C38" s="7" t="s">
        <v>31</v>
      </c>
      <c r="D38" s="7" t="s">
        <v>186</v>
      </c>
      <c r="E38" s="7" t="s">
        <v>187</v>
      </c>
      <c r="F38" s="7" t="s">
        <v>73</v>
      </c>
      <c r="G38" s="7" t="s">
        <v>20</v>
      </c>
      <c r="H38" s="7" t="s">
        <v>55</v>
      </c>
      <c r="I38" s="7">
        <v>0.8</v>
      </c>
      <c r="J38" s="7" t="s">
        <v>188</v>
      </c>
      <c r="K38" s="7" t="s">
        <v>178</v>
      </c>
      <c r="L38" s="7"/>
      <c r="M38" s="7"/>
    </row>
    <row r="39" ht="45.75" customHeight="1">
      <c r="A39" s="8" t="s">
        <v>189</v>
      </c>
      <c r="B39" s="8" t="s">
        <v>175</v>
      </c>
      <c r="C39" s="8" t="s">
        <v>31</v>
      </c>
      <c r="D39" s="8" t="s">
        <v>190</v>
      </c>
      <c r="E39" s="8" t="s">
        <v>191</v>
      </c>
      <c r="F39" s="8" t="s">
        <v>54</v>
      </c>
      <c r="G39" s="8" t="s">
        <v>20</v>
      </c>
      <c r="H39" s="8" t="s">
        <v>55</v>
      </c>
      <c r="I39" s="8">
        <v>0.7</v>
      </c>
      <c r="J39" s="8" t="s">
        <v>188</v>
      </c>
      <c r="K39" s="8" t="s">
        <v>192</v>
      </c>
      <c r="L39" s="8"/>
      <c r="M39" s="8"/>
    </row>
    <row r="40" ht="45.75" customHeight="1">
      <c r="A40" s="7" t="s">
        <v>193</v>
      </c>
      <c r="B40" s="7" t="s">
        <v>175</v>
      </c>
      <c r="C40" s="7" t="s">
        <v>31</v>
      </c>
      <c r="D40" s="7" t="s">
        <v>194</v>
      </c>
      <c r="E40" s="7" t="s">
        <v>195</v>
      </c>
      <c r="F40" s="7" t="s">
        <v>54</v>
      </c>
      <c r="G40" s="7" t="s">
        <v>20</v>
      </c>
      <c r="H40" s="7" t="s">
        <v>55</v>
      </c>
      <c r="I40" s="7">
        <v>1.5</v>
      </c>
      <c r="J40" s="7" t="s">
        <v>188</v>
      </c>
      <c r="K40" s="7" t="s">
        <v>196</v>
      </c>
      <c r="L40" s="7"/>
      <c r="M40" s="7"/>
    </row>
    <row r="41" ht="45.75" customHeight="1">
      <c r="A41" s="8" t="s">
        <v>197</v>
      </c>
      <c r="B41" s="8" t="s">
        <v>175</v>
      </c>
      <c r="C41" s="8" t="s">
        <v>28</v>
      </c>
      <c r="D41" s="8" t="s">
        <v>198</v>
      </c>
      <c r="E41" s="8" t="s">
        <v>199</v>
      </c>
      <c r="F41" s="8" t="s">
        <v>54</v>
      </c>
      <c r="G41" s="8" t="s">
        <v>20</v>
      </c>
      <c r="H41" s="8" t="s">
        <v>55</v>
      </c>
      <c r="I41" s="8">
        <v>0.5</v>
      </c>
      <c r="J41" s="8" t="s">
        <v>188</v>
      </c>
      <c r="K41" s="8" t="s">
        <v>193</v>
      </c>
      <c r="L41" s="8"/>
      <c r="M41" s="8"/>
    </row>
    <row r="42" ht="45.75" customHeight="1">
      <c r="A42" s="7" t="s">
        <v>200</v>
      </c>
      <c r="B42" s="7" t="s">
        <v>175</v>
      </c>
      <c r="C42" s="7" t="s">
        <v>29</v>
      </c>
      <c r="D42" s="7" t="s">
        <v>201</v>
      </c>
      <c r="E42" s="7" t="s">
        <v>202</v>
      </c>
      <c r="F42" s="7" t="s">
        <v>54</v>
      </c>
      <c r="G42" s="7" t="s">
        <v>20</v>
      </c>
      <c r="H42" s="7" t="s">
        <v>55</v>
      </c>
      <c r="I42" s="7">
        <v>1</v>
      </c>
      <c r="J42" s="7" t="s">
        <v>188</v>
      </c>
      <c r="K42" s="7" t="s">
        <v>197</v>
      </c>
      <c r="L42" s="7"/>
      <c r="M42" s="7"/>
    </row>
    <row r="43" ht="45.75" customHeight="1">
      <c r="A43" s="8" t="s">
        <v>203</v>
      </c>
      <c r="B43" s="8" t="s">
        <v>204</v>
      </c>
      <c r="C43" s="8" t="s">
        <v>38</v>
      </c>
      <c r="D43" s="8" t="s">
        <v>205</v>
      </c>
      <c r="E43" s="8" t="s">
        <v>206</v>
      </c>
      <c r="F43" s="8" t="s">
        <v>54</v>
      </c>
      <c r="G43" s="8" t="s">
        <v>20</v>
      </c>
      <c r="H43" s="8" t="s">
        <v>55</v>
      </c>
      <c r="I43" s="8">
        <v>0.7</v>
      </c>
      <c r="J43" s="8" t="s">
        <v>188</v>
      </c>
      <c r="K43" s="8" t="s">
        <v>93</v>
      </c>
      <c r="L43" s="8"/>
      <c r="M43" s="8"/>
    </row>
    <row r="44" ht="45.75" customHeight="1">
      <c r="A44" s="7" t="s">
        <v>207</v>
      </c>
      <c r="B44" s="7" t="s">
        <v>204</v>
      </c>
      <c r="C44" s="7" t="s">
        <v>28</v>
      </c>
      <c r="D44" s="7" t="s">
        <v>208</v>
      </c>
      <c r="E44" s="7" t="s">
        <v>209</v>
      </c>
      <c r="F44" s="7" t="s">
        <v>54</v>
      </c>
      <c r="G44" s="7" t="s">
        <v>20</v>
      </c>
      <c r="H44" s="7" t="s">
        <v>55</v>
      </c>
      <c r="I44" s="7">
        <v>0.4</v>
      </c>
      <c r="J44" s="7" t="s">
        <v>210</v>
      </c>
      <c r="K44" s="7" t="s">
        <v>203</v>
      </c>
      <c r="L44" s="7"/>
      <c r="M44" s="7"/>
    </row>
    <row r="45" ht="45.75" customHeight="1">
      <c r="A45" s="8" t="s">
        <v>211</v>
      </c>
      <c r="B45" s="8" t="s">
        <v>204</v>
      </c>
      <c r="C45" s="8" t="s">
        <v>29</v>
      </c>
      <c r="D45" s="8" t="s">
        <v>212</v>
      </c>
      <c r="E45" s="8" t="s">
        <v>213</v>
      </c>
      <c r="F45" s="8" t="s">
        <v>54</v>
      </c>
      <c r="G45" s="8" t="s">
        <v>20</v>
      </c>
      <c r="H45" s="8" t="s">
        <v>55</v>
      </c>
      <c r="I45" s="8">
        <v>1</v>
      </c>
      <c r="J45" s="8" t="s">
        <v>210</v>
      </c>
      <c r="K45" s="8" t="s">
        <v>207</v>
      </c>
      <c r="L45" s="8"/>
      <c r="M45" s="8"/>
    </row>
    <row r="46" ht="45.75" customHeight="1">
      <c r="A46" s="7" t="s">
        <v>214</v>
      </c>
      <c r="B46" s="7" t="s">
        <v>204</v>
      </c>
      <c r="C46" s="7" t="s">
        <v>38</v>
      </c>
      <c r="D46" s="7" t="s">
        <v>215</v>
      </c>
      <c r="E46" s="7" t="s">
        <v>216</v>
      </c>
      <c r="F46" s="7" t="s">
        <v>73</v>
      </c>
      <c r="G46" s="7" t="s">
        <v>20</v>
      </c>
      <c r="H46" s="7" t="s">
        <v>55</v>
      </c>
      <c r="I46" s="7">
        <v>0.5</v>
      </c>
      <c r="J46" s="7" t="s">
        <v>210</v>
      </c>
      <c r="K46" s="7" t="s">
        <v>203</v>
      </c>
      <c r="L46" s="7"/>
      <c r="M46" s="7"/>
    </row>
    <row r="47" ht="45.75" customHeight="1">
      <c r="A47" s="8" t="s">
        <v>217</v>
      </c>
      <c r="B47" s="8" t="s">
        <v>218</v>
      </c>
      <c r="C47" s="8" t="s">
        <v>36</v>
      </c>
      <c r="D47" s="8" t="s">
        <v>219</v>
      </c>
      <c r="E47" s="8" t="s">
        <v>220</v>
      </c>
      <c r="F47" s="8" t="s">
        <v>54</v>
      </c>
      <c r="G47" s="8" t="s">
        <v>20</v>
      </c>
      <c r="H47" s="8" t="s">
        <v>55</v>
      </c>
      <c r="I47" s="8">
        <v>1</v>
      </c>
      <c r="J47" s="8" t="s">
        <v>210</v>
      </c>
      <c r="K47" s="8" t="s">
        <v>193</v>
      </c>
      <c r="L47" s="8"/>
      <c r="M47" s="8"/>
    </row>
    <row r="48" ht="45.75" customHeight="1">
      <c r="A48" s="7" t="s">
        <v>221</v>
      </c>
      <c r="B48" s="7" t="s">
        <v>218</v>
      </c>
      <c r="C48" s="7" t="s">
        <v>36</v>
      </c>
      <c r="D48" s="7" t="s">
        <v>222</v>
      </c>
      <c r="E48" s="7" t="s">
        <v>223</v>
      </c>
      <c r="F48" s="7" t="s">
        <v>73</v>
      </c>
      <c r="G48" s="7" t="s">
        <v>20</v>
      </c>
      <c r="H48" s="7" t="s">
        <v>55</v>
      </c>
      <c r="I48" s="7">
        <v>1</v>
      </c>
      <c r="J48" s="7" t="s">
        <v>210</v>
      </c>
      <c r="K48" s="7" t="s">
        <v>217</v>
      </c>
      <c r="L48" s="7"/>
      <c r="M48" s="7"/>
    </row>
    <row r="49" ht="45.75" customHeight="1">
      <c r="A49" s="8" t="s">
        <v>224</v>
      </c>
      <c r="B49" s="8" t="s">
        <v>218</v>
      </c>
      <c r="C49" s="8" t="s">
        <v>29</v>
      </c>
      <c r="D49" s="8" t="s">
        <v>225</v>
      </c>
      <c r="E49" s="8" t="s">
        <v>226</v>
      </c>
      <c r="F49" s="8" t="s">
        <v>73</v>
      </c>
      <c r="G49" s="8" t="s">
        <v>20</v>
      </c>
      <c r="H49" s="8" t="s">
        <v>55</v>
      </c>
      <c r="I49" s="8">
        <v>0.8</v>
      </c>
      <c r="J49" s="8" t="s">
        <v>227</v>
      </c>
      <c r="K49" s="8" t="s">
        <v>221</v>
      </c>
      <c r="L49" s="8"/>
      <c r="M49" s="8"/>
    </row>
    <row r="50" ht="45.75" customHeight="1">
      <c r="A50" s="7" t="s">
        <v>228</v>
      </c>
      <c r="B50" s="7" t="s">
        <v>229</v>
      </c>
      <c r="C50" s="7" t="s">
        <v>29</v>
      </c>
      <c r="D50" s="7" t="s">
        <v>230</v>
      </c>
      <c r="E50" s="7" t="s">
        <v>231</v>
      </c>
      <c r="F50" s="7" t="s">
        <v>54</v>
      </c>
      <c r="G50" s="7" t="s">
        <v>20</v>
      </c>
      <c r="H50" s="7" t="s">
        <v>55</v>
      </c>
      <c r="I50" s="7">
        <v>0.8</v>
      </c>
      <c r="J50" s="7" t="s">
        <v>149</v>
      </c>
      <c r="K50" s="7" t="s">
        <v>60</v>
      </c>
      <c r="L50" s="7"/>
      <c r="M50" s="7"/>
    </row>
    <row r="51" ht="45.75" customHeight="1">
      <c r="A51" s="8" t="s">
        <v>232</v>
      </c>
      <c r="B51" s="8" t="s">
        <v>229</v>
      </c>
      <c r="C51" s="8" t="s">
        <v>29</v>
      </c>
      <c r="D51" s="8" t="s">
        <v>233</v>
      </c>
      <c r="E51" s="8" t="s">
        <v>234</v>
      </c>
      <c r="F51" s="8" t="s">
        <v>73</v>
      </c>
      <c r="G51" s="8" t="s">
        <v>20</v>
      </c>
      <c r="H51" s="8" t="s">
        <v>55</v>
      </c>
      <c r="I51" s="8">
        <v>0.8</v>
      </c>
      <c r="J51" s="8" t="s">
        <v>210</v>
      </c>
      <c r="K51" s="8" t="s">
        <v>235</v>
      </c>
      <c r="L51" s="8"/>
      <c r="M51" s="8"/>
    </row>
    <row r="52" ht="45.75" customHeight="1">
      <c r="A52" s="7" t="s">
        <v>236</v>
      </c>
      <c r="B52" s="7" t="s">
        <v>229</v>
      </c>
      <c r="C52" s="7" t="s">
        <v>29</v>
      </c>
      <c r="D52" s="7" t="s">
        <v>237</v>
      </c>
      <c r="E52" s="7" t="s">
        <v>238</v>
      </c>
      <c r="F52" s="7" t="s">
        <v>54</v>
      </c>
      <c r="G52" s="7" t="s">
        <v>20</v>
      </c>
      <c r="H52" s="7" t="s">
        <v>55</v>
      </c>
      <c r="I52" s="7">
        <v>1</v>
      </c>
      <c r="J52" s="7" t="s">
        <v>210</v>
      </c>
      <c r="K52" s="7" t="s">
        <v>228</v>
      </c>
      <c r="L52" s="7"/>
      <c r="M52" s="7"/>
    </row>
    <row r="53" ht="45.75" customHeight="1">
      <c r="A53" s="8" t="s">
        <v>239</v>
      </c>
      <c r="B53" s="8" t="s">
        <v>229</v>
      </c>
      <c r="C53" s="8" t="s">
        <v>29</v>
      </c>
      <c r="D53" s="8" t="s">
        <v>240</v>
      </c>
      <c r="E53" s="8" t="s">
        <v>241</v>
      </c>
      <c r="F53" s="8" t="s">
        <v>73</v>
      </c>
      <c r="G53" s="8" t="s">
        <v>20</v>
      </c>
      <c r="H53" s="8" t="s">
        <v>55</v>
      </c>
      <c r="I53" s="8">
        <v>0.8</v>
      </c>
      <c r="J53" s="8" t="s">
        <v>227</v>
      </c>
      <c r="K53" s="8" t="s">
        <v>242</v>
      </c>
      <c r="L53" s="8"/>
      <c r="M53" s="8"/>
    </row>
    <row r="54" ht="45.75" customHeight="1">
      <c r="A54" s="7" t="s">
        <v>243</v>
      </c>
      <c r="B54" s="7" t="s">
        <v>244</v>
      </c>
      <c r="C54" s="7" t="s">
        <v>34</v>
      </c>
      <c r="D54" s="7" t="s">
        <v>245</v>
      </c>
      <c r="E54" s="7" t="s">
        <v>246</v>
      </c>
      <c r="F54" s="7" t="s">
        <v>73</v>
      </c>
      <c r="G54" s="7" t="s">
        <v>20</v>
      </c>
      <c r="H54" s="7" t="s">
        <v>55</v>
      </c>
      <c r="I54" s="7">
        <v>0.4</v>
      </c>
      <c r="J54" s="7" t="s">
        <v>227</v>
      </c>
      <c r="K54" s="7" t="s">
        <v>70</v>
      </c>
      <c r="L54" s="7"/>
      <c r="M54" s="7"/>
    </row>
    <row r="55" ht="45.75" customHeight="1">
      <c r="A55" s="8" t="s">
        <v>247</v>
      </c>
      <c r="B55" s="8" t="s">
        <v>244</v>
      </c>
      <c r="C55" s="8" t="s">
        <v>34</v>
      </c>
      <c r="D55" s="8" t="s">
        <v>248</v>
      </c>
      <c r="E55" s="8" t="s">
        <v>249</v>
      </c>
      <c r="F55" s="8" t="s">
        <v>54</v>
      </c>
      <c r="G55" s="8" t="s">
        <v>20</v>
      </c>
      <c r="H55" s="8" t="s">
        <v>55</v>
      </c>
      <c r="I55" s="8">
        <v>0.6</v>
      </c>
      <c r="J55" s="8" t="s">
        <v>227</v>
      </c>
      <c r="K55" s="8" t="s">
        <v>67</v>
      </c>
      <c r="L55" s="8"/>
      <c r="M55" s="8"/>
    </row>
    <row r="56" ht="45.75" customHeight="1">
      <c r="A56" s="7" t="s">
        <v>250</v>
      </c>
      <c r="B56" s="7" t="s">
        <v>244</v>
      </c>
      <c r="C56" s="7" t="s">
        <v>34</v>
      </c>
      <c r="D56" s="7" t="s">
        <v>251</v>
      </c>
      <c r="E56" s="7" t="s">
        <v>252</v>
      </c>
      <c r="F56" s="7" t="s">
        <v>54</v>
      </c>
      <c r="G56" s="7" t="s">
        <v>20</v>
      </c>
      <c r="H56" s="7" t="s">
        <v>55</v>
      </c>
      <c r="I56" s="7">
        <v>0.8</v>
      </c>
      <c r="J56" s="7" t="s">
        <v>227</v>
      </c>
      <c r="K56" s="7" t="s">
        <v>193</v>
      </c>
      <c r="L56" s="7"/>
      <c r="M56" s="7"/>
    </row>
    <row r="57" ht="45.75" customHeight="1">
      <c r="A57" s="8" t="s">
        <v>253</v>
      </c>
      <c r="B57" s="8" t="s">
        <v>244</v>
      </c>
      <c r="C57" s="8" t="s">
        <v>34</v>
      </c>
      <c r="D57" s="8" t="s">
        <v>254</v>
      </c>
      <c r="E57" s="8" t="s">
        <v>255</v>
      </c>
      <c r="F57" s="8" t="s">
        <v>73</v>
      </c>
      <c r="G57" s="8" t="s">
        <v>20</v>
      </c>
      <c r="H57" s="8" t="s">
        <v>55</v>
      </c>
      <c r="I57" s="8">
        <v>0.6</v>
      </c>
      <c r="J57" s="8" t="s">
        <v>227</v>
      </c>
      <c r="K57" s="8" t="s">
        <v>256</v>
      </c>
      <c r="L57" s="8"/>
      <c r="M57" s="8"/>
    </row>
    <row r="58" ht="45.75" customHeight="1">
      <c r="A58" s="7" t="s">
        <v>257</v>
      </c>
      <c r="B58" s="7" t="s">
        <v>244</v>
      </c>
      <c r="C58" s="7" t="s">
        <v>34</v>
      </c>
      <c r="D58" s="7" t="s">
        <v>258</v>
      </c>
      <c r="E58" s="7" t="s">
        <v>259</v>
      </c>
      <c r="F58" s="7" t="s">
        <v>54</v>
      </c>
      <c r="G58" s="7" t="s">
        <v>20</v>
      </c>
      <c r="H58" s="7" t="s">
        <v>55</v>
      </c>
      <c r="I58" s="7">
        <v>0.3</v>
      </c>
      <c r="J58" s="7" t="s">
        <v>56</v>
      </c>
      <c r="K58" s="7" t="s">
        <v>50</v>
      </c>
      <c r="L58" s="7"/>
      <c r="M58" s="7"/>
    </row>
    <row r="59" ht="45.75" customHeight="1">
      <c r="A59" s="8" t="s">
        <v>260</v>
      </c>
      <c r="B59" s="8" t="s">
        <v>261</v>
      </c>
      <c r="C59" s="8" t="s">
        <v>35</v>
      </c>
      <c r="D59" s="8" t="s">
        <v>262</v>
      </c>
      <c r="E59" s="8" t="s">
        <v>263</v>
      </c>
      <c r="F59" s="8" t="s">
        <v>54</v>
      </c>
      <c r="G59" s="8" t="s">
        <v>20</v>
      </c>
      <c r="H59" s="8" t="s">
        <v>55</v>
      </c>
      <c r="I59" s="8">
        <v>1</v>
      </c>
      <c r="J59" s="8" t="s">
        <v>227</v>
      </c>
      <c r="K59" s="8" t="s">
        <v>217</v>
      </c>
      <c r="L59" s="8"/>
      <c r="M59" s="8"/>
    </row>
    <row r="60" ht="45.75" customHeight="1">
      <c r="A60" s="7" t="s">
        <v>264</v>
      </c>
      <c r="B60" s="7" t="s">
        <v>261</v>
      </c>
      <c r="C60" s="7" t="s">
        <v>35</v>
      </c>
      <c r="D60" s="7" t="s">
        <v>265</v>
      </c>
      <c r="E60" s="7" t="s">
        <v>266</v>
      </c>
      <c r="F60" s="7" t="s">
        <v>73</v>
      </c>
      <c r="G60" s="7" t="s">
        <v>20</v>
      </c>
      <c r="H60" s="7" t="s">
        <v>55</v>
      </c>
      <c r="I60" s="7">
        <v>0.8</v>
      </c>
      <c r="J60" s="7" t="s">
        <v>227</v>
      </c>
      <c r="K60" s="7" t="s">
        <v>239</v>
      </c>
      <c r="L60" s="7"/>
      <c r="M60" s="7"/>
    </row>
    <row r="61" ht="45.75" customHeight="1">
      <c r="A61" s="8" t="s">
        <v>267</v>
      </c>
      <c r="B61" s="8" t="s">
        <v>261</v>
      </c>
      <c r="C61" s="8" t="s">
        <v>35</v>
      </c>
      <c r="D61" s="8" t="s">
        <v>268</v>
      </c>
      <c r="E61" s="8" t="s">
        <v>269</v>
      </c>
      <c r="F61" s="8" t="s">
        <v>54</v>
      </c>
      <c r="G61" s="8" t="s">
        <v>20</v>
      </c>
      <c r="H61" s="8" t="s">
        <v>55</v>
      </c>
      <c r="I61" s="8">
        <v>1</v>
      </c>
      <c r="J61" s="8" t="s">
        <v>270</v>
      </c>
      <c r="K61" s="8" t="s">
        <v>271</v>
      </c>
      <c r="L61" s="8"/>
      <c r="M61" s="8"/>
    </row>
    <row r="62" ht="45.75" customHeight="1">
      <c r="A62" s="7" t="s">
        <v>272</v>
      </c>
      <c r="B62" s="7" t="s">
        <v>273</v>
      </c>
      <c r="C62" s="7" t="s">
        <v>30</v>
      </c>
      <c r="D62" s="7" t="s">
        <v>274</v>
      </c>
      <c r="E62" s="7" t="s">
        <v>275</v>
      </c>
      <c r="F62" s="7" t="s">
        <v>54</v>
      </c>
      <c r="G62" s="7" t="s">
        <v>20</v>
      </c>
      <c r="H62" s="7" t="s">
        <v>55</v>
      </c>
      <c r="I62" s="7">
        <v>0.8</v>
      </c>
      <c r="J62" s="7" t="s">
        <v>270</v>
      </c>
      <c r="K62" s="7" t="s">
        <v>276</v>
      </c>
      <c r="L62" s="7"/>
      <c r="M62" s="7"/>
    </row>
    <row r="63" ht="45.75" customHeight="1">
      <c r="A63" s="8" t="s">
        <v>277</v>
      </c>
      <c r="B63" s="8" t="s">
        <v>273</v>
      </c>
      <c r="C63" s="8" t="s">
        <v>34</v>
      </c>
      <c r="D63" s="8" t="s">
        <v>278</v>
      </c>
      <c r="E63" s="8" t="s">
        <v>279</v>
      </c>
      <c r="F63" s="8" t="s">
        <v>73</v>
      </c>
      <c r="G63" s="8" t="s">
        <v>20</v>
      </c>
      <c r="H63" s="8" t="s">
        <v>55</v>
      </c>
      <c r="I63" s="8">
        <v>0.6</v>
      </c>
      <c r="J63" s="8" t="s">
        <v>270</v>
      </c>
      <c r="K63" s="8" t="s">
        <v>272</v>
      </c>
      <c r="L63" s="8"/>
      <c r="M63" s="8"/>
    </row>
    <row r="64" ht="45.75" customHeight="1">
      <c r="A64" s="7" t="s">
        <v>280</v>
      </c>
      <c r="B64" s="7" t="s">
        <v>273</v>
      </c>
      <c r="C64" s="7" t="s">
        <v>37</v>
      </c>
      <c r="D64" s="7" t="s">
        <v>281</v>
      </c>
      <c r="E64" s="7" t="s">
        <v>282</v>
      </c>
      <c r="F64" s="7" t="s">
        <v>54</v>
      </c>
      <c r="G64" s="7" t="s">
        <v>20</v>
      </c>
      <c r="H64" s="7" t="s">
        <v>55</v>
      </c>
      <c r="I64" s="7">
        <v>0.5</v>
      </c>
      <c r="J64" s="7" t="s">
        <v>270</v>
      </c>
      <c r="K64" s="7" t="s">
        <v>283</v>
      </c>
      <c r="L64" s="7"/>
      <c r="M64" s="7"/>
    </row>
    <row r="65" ht="45.75" customHeight="1">
      <c r="A65" s="8" t="s">
        <v>284</v>
      </c>
      <c r="B65" s="8" t="s">
        <v>285</v>
      </c>
      <c r="C65" s="8" t="s">
        <v>35</v>
      </c>
      <c r="D65" s="8" t="s">
        <v>286</v>
      </c>
      <c r="E65" s="8" t="s">
        <v>287</v>
      </c>
      <c r="F65" s="8" t="s">
        <v>54</v>
      </c>
      <c r="G65" s="8" t="s">
        <v>20</v>
      </c>
      <c r="H65" s="8" t="s">
        <v>55</v>
      </c>
      <c r="I65" s="8">
        <v>0.5</v>
      </c>
      <c r="J65" s="8" t="s">
        <v>270</v>
      </c>
      <c r="K65" s="8" t="s">
        <v>288</v>
      </c>
      <c r="L65" s="8"/>
      <c r="M65" s="8"/>
    </row>
    <row r="66" ht="45.75" customHeight="1">
      <c r="A66" s="7" t="s">
        <v>289</v>
      </c>
      <c r="B66" s="7" t="s">
        <v>285</v>
      </c>
      <c r="C66" s="7" t="s">
        <v>34</v>
      </c>
      <c r="D66" s="7" t="s">
        <v>290</v>
      </c>
      <c r="E66" s="7" t="s">
        <v>291</v>
      </c>
      <c r="F66" s="7" t="s">
        <v>54</v>
      </c>
      <c r="G66" s="7" t="s">
        <v>20</v>
      </c>
      <c r="H66" s="7" t="s">
        <v>55</v>
      </c>
      <c r="I66" s="7">
        <v>0.5</v>
      </c>
      <c r="J66" s="7" t="s">
        <v>270</v>
      </c>
      <c r="K66" s="7" t="s">
        <v>284</v>
      </c>
      <c r="L66" s="7"/>
      <c r="M66" s="7"/>
    </row>
  </sheetData>
  <conditionalFormatting sqref="G2:G66">
    <cfRule type="expression" dxfId="0" priority="1" text="null">
      <formula>$G2="Done"</formula>
    </cfRule>
  </conditionalFormatting>
  <conditionalFormatting sqref="G2:G66">
    <cfRule type="expression" dxfId="1" priority="2" text="null">
      <formula>$G2="In Progress"</formula>
    </cfRule>
  </conditionalFormatting>
  <conditionalFormatting sqref="G2:G66">
    <cfRule type="expression" dxfId="2" priority="3" text="null">
      <formula>$G2="Blocked"</formula>
    </cfRule>
  </conditionalFormatting>
  <conditionalFormatting sqref="G2:G66">
    <cfRule type="expression" dxfId="3" priority="4" text="null">
      <formula>$G2="In Review"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sqref="J2:J66" type="list">
          <x14:formula1>
            <xm:f>Lists!$D$2:$D$11</xm:f>
          </x14:formula1>
          <xm:sqref>J2:J66</xm:sqref>
        </x14:dataValidation>
        <x14:dataValidation sqref="C2:C66" type="list">
          <x14:formula1>
            <xm:f>Lists!$C$2:$C$13</xm:f>
          </x14:formula1>
          <xm:sqref>C2:C66</xm:sqref>
        </x14:dataValidation>
        <x14:dataValidation sqref="F2:F66" type="list">
          <x14:formula1>
            <xm:f>Lists!$B$2:$B$5</xm:f>
          </x14:formula1>
          <xm:sqref>F2:F66</xm:sqref>
        </x14:dataValidation>
        <x14:dataValidation sqref="G2:G66" type="list">
          <x14:formula1>
            <xm:f>Lists!$A$2:$A$6</xm:f>
          </x14:formula1>
          <xm:sqref>G2:G66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4DDAC1-29E5-4ACA-8926-C603A85F6760}" mc:Ignorable="x14ac xr xr2 xr3">
  <dimension ref="A1:T200"/>
  <sheetViews>
    <sheetView topLeftCell="A7" workbookViewId="0">
      <selection activeCell="A1" sqref="A1"/>
    </sheetView>
  </sheetViews>
  <sheetFormatPr defaultRowHeight="15" defaultColWidth="9.140625" customHeight="1"/>
  <cols>
    <col min="1" max="1" width="10.00390625" customWidth="1"/>
    <col min="2" max="2" width="24.00390625" customWidth="1"/>
    <col min="3" max="4" width="42.00390625" customWidth="1"/>
    <col min="5" max="5" width="24.00390625" customWidth="1"/>
  </cols>
  <sheetData>
    <row r="1" ht="15" customHeight="1">
      <c r="A1" s="6" t="s">
        <v>292</v>
      </c>
      <c r="B1" s="6" t="s">
        <v>293</v>
      </c>
      <c r="C1" s="6" t="s">
        <v>294</v>
      </c>
      <c r="D1" s="6" t="s">
        <v>295</v>
      </c>
      <c r="E1" s="6" t="s">
        <v>296</v>
      </c>
    </row>
    <row r="2" ht="15" customHeight="1">
      <c r="A2" s="7" t="s">
        <v>56</v>
      </c>
      <c r="B2" s="7" t="s">
        <v>297</v>
      </c>
      <c r="C2" s="7" t="s">
        <v>298</v>
      </c>
      <c r="D2" s="7" t="s">
        <v>299</v>
      </c>
      <c r="E2" s="7" t="s">
        <v>300</v>
      </c>
    </row>
    <row r="3" ht="15" customHeight="1">
      <c r="A3" s="8" t="s">
        <v>81</v>
      </c>
      <c r="B3" s="8" t="s">
        <v>13</v>
      </c>
      <c r="C3" s="8" t="s">
        <v>301</v>
      </c>
      <c r="D3" s="8" t="s">
        <v>302</v>
      </c>
      <c r="E3" s="8" t="s">
        <v>303</v>
      </c>
    </row>
    <row r="4" ht="15" customHeight="1">
      <c r="A4" s="7" t="s">
        <v>103</v>
      </c>
      <c r="B4" s="7" t="s">
        <v>304</v>
      </c>
      <c r="C4" s="7" t="s">
        <v>305</v>
      </c>
      <c r="D4" s="7" t="s">
        <v>306</v>
      </c>
      <c r="E4" s="7" t="s">
        <v>307</v>
      </c>
    </row>
    <row r="5" ht="15" customHeight="1">
      <c r="A5" s="8" t="s">
        <v>128</v>
      </c>
      <c r="B5" s="8" t="s">
        <v>308</v>
      </c>
      <c r="C5" s="8" t="s">
        <v>309</v>
      </c>
      <c r="D5" s="8" t="s">
        <v>310</v>
      </c>
      <c r="E5" s="8" t="s">
        <v>311</v>
      </c>
    </row>
    <row r="6" ht="15" customHeight="1">
      <c r="A6" s="7" t="s">
        <v>149</v>
      </c>
      <c r="B6" s="7" t="s">
        <v>312</v>
      </c>
      <c r="C6" s="7" t="s">
        <v>313</v>
      </c>
      <c r="D6" s="7" t="s">
        <v>314</v>
      </c>
      <c r="E6" s="7" t="s">
        <v>315</v>
      </c>
    </row>
    <row r="7" ht="15" customHeight="1">
      <c r="A7" s="8" t="s">
        <v>165</v>
      </c>
      <c r="B7" s="8" t="s">
        <v>316</v>
      </c>
      <c r="C7" s="8" t="s">
        <v>317</v>
      </c>
      <c r="D7" s="8" t="s">
        <v>318</v>
      </c>
      <c r="E7" s="8" t="s">
        <v>319</v>
      </c>
    </row>
    <row r="8" ht="15" customHeight="1">
      <c r="A8" s="7" t="s">
        <v>188</v>
      </c>
      <c r="B8" s="7" t="s">
        <v>320</v>
      </c>
      <c r="C8" s="7" t="s">
        <v>321</v>
      </c>
      <c r="D8" s="7" t="s">
        <v>322</v>
      </c>
      <c r="E8" s="7" t="s">
        <v>323</v>
      </c>
    </row>
    <row r="9" ht="15" customHeight="1">
      <c r="A9" s="8" t="s">
        <v>210</v>
      </c>
      <c r="B9" s="8" t="s">
        <v>324</v>
      </c>
      <c r="C9" s="8" t="s">
        <v>325</v>
      </c>
      <c r="D9" s="8" t="s">
        <v>326</v>
      </c>
      <c r="E9" s="8" t="s">
        <v>327</v>
      </c>
    </row>
    <row r="10" ht="15" customHeight="1">
      <c r="A10" s="7" t="s">
        <v>227</v>
      </c>
      <c r="B10" s="7" t="s">
        <v>328</v>
      </c>
      <c r="C10" s="7" t="s">
        <v>329</v>
      </c>
      <c r="D10" s="7" t="s">
        <v>330</v>
      </c>
      <c r="E10" s="7" t="s">
        <v>331</v>
      </c>
    </row>
    <row r="11" ht="15" customHeight="1">
      <c r="A11" s="8" t="s">
        <v>270</v>
      </c>
      <c r="B11" s="8" t="s">
        <v>332</v>
      </c>
      <c r="C11" s="8" t="s">
        <v>333</v>
      </c>
      <c r="D11" s="8" t="s">
        <v>334</v>
      </c>
      <c r="E11" s="8" t="s">
        <v>335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755019-FC02-4AB0-94E6-F1E10AEB8A0B}" mc:Ignorable="x14ac xr xr2 xr3">
  <dimension ref="A1:T200"/>
  <sheetViews>
    <sheetView topLeftCell="A1" workbookViewId="0">
      <selection activeCell="A1" sqref="A1"/>
    </sheetView>
  </sheetViews>
  <sheetFormatPr defaultRowHeight="15" defaultColWidth="9.140625" customHeight="1"/>
  <cols>
    <col min="1" max="1" width="26.00390625" customWidth="1"/>
    <col min="2" max="2" width="14.00390625" customWidth="1"/>
    <col min="3" max="3" width="34.00390625" customWidth="1"/>
    <col min="4" max="4" width="18.00390625" customWidth="1"/>
    <col min="5" max="5" width="32.00390625" customWidth="1"/>
    <col min="6" max="6" width="34.00390625" customWidth="1"/>
  </cols>
  <sheetData>
    <row r="1" ht="15" customHeight="1">
      <c r="A1" s="6" t="s">
        <v>336</v>
      </c>
      <c r="B1" s="6" t="s">
        <v>337</v>
      </c>
      <c r="C1" s="6" t="s">
        <v>338</v>
      </c>
      <c r="D1" s="6" t="s">
        <v>339</v>
      </c>
      <c r="E1" s="6" t="s">
        <v>340</v>
      </c>
      <c r="F1" s="6" t="s">
        <v>48</v>
      </c>
    </row>
    <row r="2" ht="15" customHeight="1">
      <c r="A2" s="7" t="s">
        <v>341</v>
      </c>
      <c r="B2" s="7" t="s">
        <v>342</v>
      </c>
      <c r="C2" s="7" t="s">
        <v>343</v>
      </c>
      <c r="D2" s="7" t="s">
        <v>344</v>
      </c>
      <c r="E2" s="7" t="s">
        <v>345</v>
      </c>
      <c r="F2" s="7"/>
    </row>
    <row r="3" ht="15" customHeight="1">
      <c r="A3" s="8" t="s">
        <v>346</v>
      </c>
      <c r="B3" s="8" t="s">
        <v>342</v>
      </c>
      <c r="C3" s="8" t="s">
        <v>347</v>
      </c>
      <c r="D3" s="8" t="s">
        <v>28</v>
      </c>
      <c r="E3" s="8" t="s">
        <v>348</v>
      </c>
      <c r="F3" s="8" t="s">
        <v>349</v>
      </c>
    </row>
    <row r="4" ht="15" customHeight="1">
      <c r="A4" s="7" t="s">
        <v>350</v>
      </c>
      <c r="B4" s="7" t="s">
        <v>342</v>
      </c>
      <c r="C4" s="7" t="s">
        <v>351</v>
      </c>
      <c r="D4" s="7" t="s">
        <v>28</v>
      </c>
      <c r="E4" s="7" t="s">
        <v>352</v>
      </c>
      <c r="F4" s="7"/>
    </row>
    <row r="5" ht="15" customHeight="1">
      <c r="A5" s="8" t="s">
        <v>353</v>
      </c>
      <c r="B5" s="8" t="s">
        <v>342</v>
      </c>
      <c r="C5" s="8" t="s">
        <v>354</v>
      </c>
      <c r="D5" s="8" t="s">
        <v>28</v>
      </c>
      <c r="E5" s="8" t="s">
        <v>355</v>
      </c>
      <c r="F5" s="8" t="s">
        <v>356</v>
      </c>
    </row>
    <row r="6" ht="15" customHeight="1">
      <c r="A6" s="7" t="s">
        <v>357</v>
      </c>
      <c r="B6" s="7" t="s">
        <v>342</v>
      </c>
      <c r="C6" s="7" t="s">
        <v>358</v>
      </c>
      <c r="D6" s="7" t="s">
        <v>28</v>
      </c>
      <c r="E6" s="7" t="s">
        <v>359</v>
      </c>
      <c r="F6" s="7"/>
    </row>
    <row r="7" ht="15" customHeight="1">
      <c r="A7" s="8" t="s">
        <v>360</v>
      </c>
      <c r="B7" s="8" t="s">
        <v>342</v>
      </c>
      <c r="C7" s="8" t="s">
        <v>361</v>
      </c>
      <c r="D7" s="8" t="s">
        <v>28</v>
      </c>
      <c r="E7" s="8" t="s">
        <v>362</v>
      </c>
      <c r="F7" s="8"/>
    </row>
    <row r="8" ht="15" customHeight="1">
      <c r="A8" s="7" t="s">
        <v>363</v>
      </c>
      <c r="B8" s="7" t="s">
        <v>342</v>
      </c>
      <c r="C8" s="7" t="s">
        <v>364</v>
      </c>
      <c r="D8" s="7" t="s">
        <v>28</v>
      </c>
      <c r="E8" s="7" t="s">
        <v>365</v>
      </c>
      <c r="F8" s="7" t="s">
        <v>366</v>
      </c>
    </row>
    <row r="9" ht="15" customHeight="1">
      <c r="A9" s="8" t="s">
        <v>367</v>
      </c>
      <c r="B9" s="8" t="s">
        <v>342</v>
      </c>
      <c r="C9" s="8" t="s">
        <v>368</v>
      </c>
      <c r="D9" s="8" t="s">
        <v>28</v>
      </c>
      <c r="E9" s="8" t="s">
        <v>369</v>
      </c>
      <c r="F9" s="8" t="s">
        <v>370</v>
      </c>
    </row>
    <row r="10" ht="15" customHeight="1">
      <c r="A10" s="7" t="s">
        <v>371</v>
      </c>
      <c r="B10" s="7" t="s">
        <v>342</v>
      </c>
      <c r="C10" s="7" t="s">
        <v>372</v>
      </c>
      <c r="D10" s="7" t="s">
        <v>28</v>
      </c>
      <c r="E10" s="7" t="s">
        <v>373</v>
      </c>
      <c r="F10" s="7"/>
    </row>
    <row r="11" ht="15" customHeight="1">
      <c r="A11" s="8" t="s">
        <v>374</v>
      </c>
      <c r="B11" s="8" t="s">
        <v>342</v>
      </c>
      <c r="C11" s="8" t="s">
        <v>375</v>
      </c>
      <c r="D11" s="8" t="s">
        <v>28</v>
      </c>
      <c r="E11" s="8" t="s">
        <v>376</v>
      </c>
      <c r="F11" s="8" t="s">
        <v>377</v>
      </c>
    </row>
    <row r="12" ht="15" customHeight="1">
      <c r="A12" s="7" t="s">
        <v>378</v>
      </c>
      <c r="B12" s="7" t="s">
        <v>342</v>
      </c>
      <c r="C12" s="7" t="s">
        <v>379</v>
      </c>
      <c r="D12" s="7" t="s">
        <v>28</v>
      </c>
      <c r="E12" s="7" t="s">
        <v>380</v>
      </c>
      <c r="F12" s="7" t="s">
        <v>381</v>
      </c>
    </row>
    <row r="13" ht="15" customHeight="1">
      <c r="A13" s="8" t="s">
        <v>382</v>
      </c>
      <c r="B13" s="8" t="s">
        <v>383</v>
      </c>
      <c r="C13" s="8"/>
      <c r="D13" s="8" t="s">
        <v>28</v>
      </c>
      <c r="E13" s="8" t="s">
        <v>384</v>
      </c>
      <c r="F13" s="8" t="s">
        <v>385</v>
      </c>
    </row>
    <row r="14" ht="15" customHeight="1">
      <c r="A14" s="7" t="s">
        <v>386</v>
      </c>
      <c r="B14" s="7" t="s">
        <v>342</v>
      </c>
      <c r="C14" s="7" t="s">
        <v>387</v>
      </c>
      <c r="D14" s="7" t="s">
        <v>28</v>
      </c>
      <c r="E14" s="7" t="s">
        <v>388</v>
      </c>
      <c r="F14" s="7" t="s">
        <v>389</v>
      </c>
    </row>
    <row r="15" ht="15" customHeight="1">
      <c r="A15" s="8" t="s">
        <v>390</v>
      </c>
      <c r="B15" s="8" t="s">
        <v>342</v>
      </c>
      <c r="C15" s="8" t="s">
        <v>391</v>
      </c>
      <c r="D15" s="8" t="s">
        <v>28</v>
      </c>
      <c r="E15" s="8" t="s">
        <v>392</v>
      </c>
      <c r="F15" s="8" t="s">
        <v>389</v>
      </c>
    </row>
    <row r="16" ht="15" customHeight="1">
      <c r="A16" s="7" t="s">
        <v>393</v>
      </c>
      <c r="B16" s="7" t="s">
        <v>394</v>
      </c>
      <c r="C16" s="7"/>
      <c r="D16" s="7" t="s">
        <v>395</v>
      </c>
      <c r="E16" s="7" t="s">
        <v>396</v>
      </c>
      <c r="F16" s="7" t="s">
        <v>397</v>
      </c>
    </row>
    <row r="17" ht="15" customHeight="1">
      <c r="A17" s="8" t="s">
        <v>398</v>
      </c>
      <c r="B17" s="8" t="s">
        <v>394</v>
      </c>
      <c r="C17" s="8"/>
      <c r="D17" s="8" t="s">
        <v>28</v>
      </c>
      <c r="E17" s="8" t="s">
        <v>399</v>
      </c>
      <c r="F17" s="8" t="s">
        <v>385</v>
      </c>
    </row>
    <row r="18" ht="15" customHeight="1">
      <c r="A18" s="7" t="s">
        <v>400</v>
      </c>
      <c r="B18" s="7" t="s">
        <v>401</v>
      </c>
      <c r="C18" s="7"/>
      <c r="D18" s="7" t="s">
        <v>29</v>
      </c>
      <c r="E18" s="7" t="s">
        <v>402</v>
      </c>
      <c r="F18" s="7" t="s">
        <v>403</v>
      </c>
    </row>
    <row r="19" ht="15" customHeight="1">
      <c r="A19" s="8" t="s">
        <v>404</v>
      </c>
      <c r="B19" s="8" t="s">
        <v>394</v>
      </c>
      <c r="C19" s="8" t="s">
        <v>405</v>
      </c>
      <c r="D19" s="8" t="s">
        <v>28</v>
      </c>
      <c r="E19" s="8" t="s">
        <v>406</v>
      </c>
      <c r="F19" s="8" t="s">
        <v>407</v>
      </c>
    </row>
    <row r="20" ht="15" customHeight="1">
      <c r="A20" s="7" t="s">
        <v>408</v>
      </c>
      <c r="B20" s="7" t="s">
        <v>342</v>
      </c>
      <c r="C20" s="7" t="s">
        <v>409</v>
      </c>
      <c r="D20" s="7" t="s">
        <v>28</v>
      </c>
      <c r="E20" s="7" t="s">
        <v>410</v>
      </c>
      <c r="F20" s="7"/>
    </row>
    <row r="21" ht="15" customHeight="1">
      <c r="A21" s="8" t="s">
        <v>411</v>
      </c>
      <c r="B21" s="8" t="s">
        <v>342</v>
      </c>
      <c r="C21" s="8" t="s">
        <v>409</v>
      </c>
      <c r="D21" s="8" t="s">
        <v>28</v>
      </c>
      <c r="E21" s="8" t="s">
        <v>412</v>
      </c>
      <c r="F21" s="8"/>
    </row>
    <row r="22" ht="15" customHeight="1">
      <c r="A22" s="7" t="s">
        <v>413</v>
      </c>
      <c r="B22" s="7" t="s">
        <v>342</v>
      </c>
      <c r="C22" s="7" t="s">
        <v>414</v>
      </c>
      <c r="D22" s="7" t="s">
        <v>28</v>
      </c>
      <c r="E22" s="7" t="s">
        <v>415</v>
      </c>
      <c r="F22" s="7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A6B0A43-A19D-49EF-BCEE-DA35778DBC26}" mc:Ignorable="x14ac xr xr2 xr3">
  <dimension ref="A1:T200"/>
  <sheetViews>
    <sheetView topLeftCell="D7" workbookViewId="0" tabSelected="1">
      <selection activeCell="A1" sqref="A1"/>
    </sheetView>
  </sheetViews>
  <sheetFormatPr defaultRowHeight="15" defaultColWidth="9.140625" customHeight="1"/>
  <cols>
    <col min="1" max="1" width="10.00390625" customWidth="1"/>
    <col min="2" max="2" width="36.00390625" customWidth="1"/>
    <col min="3" max="3" width="35.00390625" customWidth="1"/>
    <col min="4" max="4" width="18.00390625" customWidth="1"/>
    <col min="5" max="5" width="20.00390625" customWidth="1"/>
    <col min="6" max="6" width="35.00390625" customWidth="1"/>
  </cols>
  <sheetData>
    <row r="1" ht="15" customHeight="1">
      <c r="A1" s="6" t="s">
        <v>416</v>
      </c>
      <c r="B1" s="6" t="s">
        <v>417</v>
      </c>
      <c r="C1" s="6" t="s">
        <v>340</v>
      </c>
      <c r="D1" s="6" t="s">
        <v>418</v>
      </c>
      <c r="E1" s="6" t="s">
        <v>419</v>
      </c>
      <c r="F1" s="6" t="s">
        <v>48</v>
      </c>
    </row>
    <row r="2" ht="15" customHeight="1">
      <c r="A2" s="7" t="s">
        <v>420</v>
      </c>
      <c r="B2" s="7" t="s">
        <v>421</v>
      </c>
      <c r="C2" s="7" t="s">
        <v>422</v>
      </c>
      <c r="D2" s="7" t="s">
        <v>20</v>
      </c>
      <c r="E2" s="7" t="s">
        <v>20</v>
      </c>
      <c r="F2" s="7" t="s">
        <v>423</v>
      </c>
    </row>
    <row r="3" ht="15" customHeight="1">
      <c r="A3" s="8" t="s">
        <v>420</v>
      </c>
      <c r="B3" s="8" t="s">
        <v>424</v>
      </c>
      <c r="C3" s="8" t="s">
        <v>425</v>
      </c>
      <c r="D3" s="8" t="s">
        <v>20</v>
      </c>
      <c r="E3" s="8" t="s">
        <v>20</v>
      </c>
      <c r="F3" s="8" t="s">
        <v>426</v>
      </c>
    </row>
    <row r="4" ht="15" customHeight="1">
      <c r="A4" s="7" t="s">
        <v>427</v>
      </c>
      <c r="B4" s="7" t="s">
        <v>424</v>
      </c>
      <c r="C4" s="7" t="s">
        <v>428</v>
      </c>
      <c r="D4" s="7" t="s">
        <v>20</v>
      </c>
      <c r="E4" s="7" t="s">
        <v>20</v>
      </c>
      <c r="F4" s="7" t="s">
        <v>429</v>
      </c>
    </row>
    <row r="5" ht="15" customHeight="1">
      <c r="A5" s="8" t="s">
        <v>420</v>
      </c>
      <c r="B5" s="8" t="s">
        <v>430</v>
      </c>
      <c r="C5" s="8" t="s">
        <v>431</v>
      </c>
      <c r="D5" s="8" t="s">
        <v>20</v>
      </c>
      <c r="E5" s="8" t="s">
        <v>20</v>
      </c>
      <c r="F5" s="8" t="s">
        <v>432</v>
      </c>
    </row>
    <row r="6" ht="15" customHeight="1">
      <c r="A6" s="7" t="s">
        <v>433</v>
      </c>
      <c r="B6" s="7" t="s">
        <v>434</v>
      </c>
      <c r="C6" s="7" t="s">
        <v>435</v>
      </c>
      <c r="D6" s="7" t="s">
        <v>20</v>
      </c>
      <c r="E6" s="7" t="s">
        <v>20</v>
      </c>
      <c r="F6" s="7" t="s">
        <v>436</v>
      </c>
    </row>
    <row r="7" ht="15" customHeight="1">
      <c r="A7" s="8" t="s">
        <v>433</v>
      </c>
      <c r="B7" s="8" t="s">
        <v>437</v>
      </c>
      <c r="C7" s="8" t="s">
        <v>438</v>
      </c>
      <c r="D7" s="8" t="s">
        <v>20</v>
      </c>
      <c r="E7" s="8" t="s">
        <v>20</v>
      </c>
      <c r="F7" s="8" t="s">
        <v>439</v>
      </c>
    </row>
    <row r="8" ht="15" customHeight="1">
      <c r="A8" s="7" t="s">
        <v>440</v>
      </c>
      <c r="B8" s="7" t="s">
        <v>441</v>
      </c>
      <c r="C8" s="7" t="s">
        <v>442</v>
      </c>
      <c r="D8" s="7" t="s">
        <v>20</v>
      </c>
      <c r="E8" s="7" t="s">
        <v>20</v>
      </c>
      <c r="F8" s="7" t="s">
        <v>443</v>
      </c>
    </row>
    <row r="9" ht="15" customHeight="1">
      <c r="A9" s="8" t="s">
        <v>433</v>
      </c>
      <c r="B9" s="8" t="s">
        <v>444</v>
      </c>
      <c r="C9" s="8" t="s">
        <v>445</v>
      </c>
      <c r="D9" s="8" t="s">
        <v>20</v>
      </c>
      <c r="E9" s="8" t="s">
        <v>20</v>
      </c>
      <c r="F9" s="8" t="s">
        <v>446</v>
      </c>
    </row>
    <row r="10" ht="15" customHeight="1">
      <c r="A10" s="7" t="s">
        <v>420</v>
      </c>
      <c r="B10" s="7" t="s">
        <v>444</v>
      </c>
      <c r="C10" s="7" t="s">
        <v>447</v>
      </c>
      <c r="D10" s="7" t="s">
        <v>20</v>
      </c>
      <c r="E10" s="7" t="s">
        <v>20</v>
      </c>
      <c r="F10" s="7" t="s">
        <v>448</v>
      </c>
    </row>
    <row r="11" ht="15" customHeight="1">
      <c r="A11" s="8" t="s">
        <v>420</v>
      </c>
      <c r="B11" s="8" t="s">
        <v>449</v>
      </c>
      <c r="C11" s="8" t="s">
        <v>450</v>
      </c>
      <c r="D11" s="8" t="s">
        <v>20</v>
      </c>
      <c r="E11" s="8" t="s">
        <v>20</v>
      </c>
      <c r="F11" s="8" t="s">
        <v>451</v>
      </c>
    </row>
    <row r="12" ht="15" customHeight="1">
      <c r="A12" s="7" t="s">
        <v>433</v>
      </c>
      <c r="B12" s="7" t="s">
        <v>452</v>
      </c>
      <c r="C12" s="7" t="s">
        <v>453</v>
      </c>
      <c r="D12" s="7" t="s">
        <v>20</v>
      </c>
      <c r="E12" s="7" t="s">
        <v>20</v>
      </c>
      <c r="F12" s="7" t="s">
        <v>454</v>
      </c>
    </row>
    <row r="13" ht="15" customHeight="1">
      <c r="A13" s="8" t="s">
        <v>420</v>
      </c>
      <c r="B13" s="8" t="s">
        <v>455</v>
      </c>
      <c r="C13" s="8" t="s">
        <v>456</v>
      </c>
      <c r="D13" s="8" t="s">
        <v>20</v>
      </c>
      <c r="E13" s="8" t="s">
        <v>20</v>
      </c>
      <c r="F13" s="8" t="s">
        <v>457</v>
      </c>
    </row>
    <row r="14" ht="15" customHeight="1">
      <c r="A14" s="7" t="s">
        <v>433</v>
      </c>
      <c r="B14" s="7" t="s">
        <v>458</v>
      </c>
      <c r="C14" s="7" t="s">
        <v>459</v>
      </c>
      <c r="D14" s="7" t="s">
        <v>20</v>
      </c>
      <c r="E14" s="7" t="s">
        <v>20</v>
      </c>
      <c r="F14" s="7" t="s">
        <v>460</v>
      </c>
    </row>
    <row r="15" ht="15" customHeight="1">
      <c r="A15" s="8" t="s">
        <v>420</v>
      </c>
      <c r="B15" s="8" t="s">
        <v>458</v>
      </c>
      <c r="C15" s="8" t="s">
        <v>461</v>
      </c>
      <c r="D15" s="8" t="s">
        <v>20</v>
      </c>
      <c r="E15" s="8" t="s">
        <v>20</v>
      </c>
      <c r="F15" s="8"/>
    </row>
    <row r="16" ht="15" customHeight="1">
      <c r="A16" s="7" t="s">
        <v>433</v>
      </c>
      <c r="B16" s="7" t="s">
        <v>462</v>
      </c>
      <c r="C16" s="7" t="s">
        <v>463</v>
      </c>
      <c r="D16" s="7" t="s">
        <v>20</v>
      </c>
      <c r="E16" s="7" t="s">
        <v>20</v>
      </c>
      <c r="F16" s="7"/>
    </row>
    <row r="17" ht="15" customHeight="1">
      <c r="A17" s="8" t="s">
        <v>420</v>
      </c>
      <c r="B17" s="8" t="s">
        <v>464</v>
      </c>
      <c r="C17" s="8" t="s">
        <v>465</v>
      </c>
      <c r="D17" s="8" t="s">
        <v>20</v>
      </c>
      <c r="E17" s="8" t="s">
        <v>20</v>
      </c>
      <c r="F17" s="8"/>
    </row>
    <row r="18" ht="15" customHeight="1">
      <c r="A18" s="7" t="s">
        <v>420</v>
      </c>
      <c r="B18" s="7" t="s">
        <v>466</v>
      </c>
      <c r="C18" s="7" t="s">
        <v>467</v>
      </c>
      <c r="D18" s="7" t="s">
        <v>20</v>
      </c>
      <c r="E18" s="7" t="s">
        <v>20</v>
      </c>
      <c r="F18" s="7" t="s">
        <v>468</v>
      </c>
    </row>
    <row r="19" ht="15" customHeight="1">
      <c r="A19" s="8" t="s">
        <v>420</v>
      </c>
      <c r="B19" s="8" t="s">
        <v>469</v>
      </c>
      <c r="C19" s="8" t="s">
        <v>470</v>
      </c>
      <c r="D19" s="8" t="s">
        <v>20</v>
      </c>
      <c r="E19" s="8" t="s">
        <v>20</v>
      </c>
      <c r="F19" s="8"/>
    </row>
    <row r="20" ht="15" customHeight="1">
      <c r="A20" s="7" t="s">
        <v>420</v>
      </c>
      <c r="B20" s="7" t="s">
        <v>471</v>
      </c>
      <c r="C20" s="7" t="s">
        <v>406</v>
      </c>
      <c r="D20" s="7" t="s">
        <v>20</v>
      </c>
      <c r="E20" s="7" t="s">
        <v>20</v>
      </c>
      <c r="F20" s="7"/>
    </row>
    <row r="21" ht="15" customHeight="1">
      <c r="A21" s="8" t="s">
        <v>433</v>
      </c>
      <c r="B21" s="8" t="s">
        <v>472</v>
      </c>
      <c r="C21" s="8" t="s">
        <v>473</v>
      </c>
      <c r="D21" s="8" t="s">
        <v>20</v>
      </c>
      <c r="E21" s="8" t="s">
        <v>20</v>
      </c>
      <c r="F21" s="8"/>
    </row>
    <row r="22" ht="15" customHeight="1">
      <c r="A22" s="7" t="s">
        <v>433</v>
      </c>
      <c r="B22" s="7" t="s">
        <v>474</v>
      </c>
      <c r="C22" s="7" t="s">
        <v>475</v>
      </c>
      <c r="D22" s="7" t="s">
        <v>20</v>
      </c>
      <c r="E22" s="7" t="s">
        <v>20</v>
      </c>
      <c r="F22" s="7" t="s">
        <v>476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sqref="D2:E22" type="list">
          <x14:formula1>
            <xm:f>Lists!$A$2:$A$6</xm:f>
          </x14:formula1>
          <xm:sqref>D2:E22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A32BBE-59F1-4002-AF98-30F75FF6E10D}" mc:Ignorable="x14ac xr xr2 xr3">
  <dimension ref="A1:T200"/>
  <sheetViews>
    <sheetView topLeftCell="A1" workbookViewId="0">
      <selection activeCell="C9" sqref="C9"/>
    </sheetView>
  </sheetViews>
  <sheetFormatPr defaultRowHeight="15" defaultColWidth="9.140625" customHeight="1"/>
  <cols>
    <col min="1" max="1" width="8.00390625" customWidth="1"/>
    <col min="2" max="3" width="34.00390625" customWidth="1"/>
    <col min="4" max="4" width="28.00390625" customWidth="1"/>
    <col min="5" max="5" width="38.00390625" customWidth="1"/>
    <col min="6" max="6" width="16.00390625" customWidth="1"/>
  </cols>
  <sheetData>
    <row r="1" ht="15" customHeight="1">
      <c r="A1" s="6" t="s">
        <v>477</v>
      </c>
      <c r="B1" s="6" t="s">
        <v>478</v>
      </c>
      <c r="C1" s="6" t="s">
        <v>479</v>
      </c>
      <c r="D1" s="6" t="s">
        <v>480</v>
      </c>
      <c r="E1" s="6" t="s">
        <v>481</v>
      </c>
      <c r="F1" s="6" t="s">
        <v>3</v>
      </c>
    </row>
    <row r="2" ht="15" customHeight="1">
      <c r="A2" s="7">
        <v>1</v>
      </c>
      <c r="B2" s="7" t="s">
        <v>482</v>
      </c>
      <c r="C2" s="7" t="s">
        <v>483</v>
      </c>
      <c r="D2" s="7" t="s">
        <v>426</v>
      </c>
      <c r="E2" s="7" t="s">
        <v>484</v>
      </c>
      <c r="F2" s="7" t="s">
        <v>20</v>
      </c>
    </row>
    <row r="3" ht="15" customHeight="1">
      <c r="A3" s="8">
        <v>2</v>
      </c>
      <c r="B3" s="8" t="s">
        <v>485</v>
      </c>
      <c r="C3" s="8" t="s">
        <v>486</v>
      </c>
      <c r="D3" s="8" t="s">
        <v>487</v>
      </c>
      <c r="E3" s="8" t="s">
        <v>488</v>
      </c>
      <c r="F3" s="8" t="s">
        <v>20</v>
      </c>
    </row>
    <row r="4" ht="15" customHeight="1">
      <c r="A4" s="7">
        <v>3</v>
      </c>
      <c r="B4" s="7" t="s">
        <v>489</v>
      </c>
      <c r="C4" s="7" t="s">
        <v>490</v>
      </c>
      <c r="D4" s="7" t="s">
        <v>491</v>
      </c>
      <c r="E4" s="7" t="s">
        <v>492</v>
      </c>
      <c r="F4" s="7" t="s">
        <v>20</v>
      </c>
    </row>
    <row r="5" ht="15" customHeight="1">
      <c r="A5" s="8">
        <v>4</v>
      </c>
      <c r="B5" s="8" t="s">
        <v>493</v>
      </c>
      <c r="C5" s="8" t="s">
        <v>494</v>
      </c>
      <c r="D5" s="8" t="s">
        <v>495</v>
      </c>
      <c r="E5" s="8" t="s">
        <v>496</v>
      </c>
      <c r="F5" s="8" t="s">
        <v>20</v>
      </c>
    </row>
    <row r="6" ht="15" customHeight="1">
      <c r="A6" s="7">
        <v>5</v>
      </c>
      <c r="B6" s="7" t="s">
        <v>497</v>
      </c>
      <c r="C6" s="7" t="s">
        <v>498</v>
      </c>
      <c r="D6" s="7" t="s">
        <v>499</v>
      </c>
      <c r="E6" s="7" t="s">
        <v>500</v>
      </c>
      <c r="F6" s="7" t="s">
        <v>20</v>
      </c>
    </row>
    <row r="7" ht="15" customHeight="1">
      <c r="A7" s="8">
        <v>6</v>
      </c>
      <c r="B7" s="8" t="s">
        <v>501</v>
      </c>
      <c r="C7" s="8" t="s">
        <v>502</v>
      </c>
      <c r="D7" s="8" t="s">
        <v>503</v>
      </c>
      <c r="E7" s="8" t="s">
        <v>504</v>
      </c>
      <c r="F7" s="8" t="s">
        <v>20</v>
      </c>
    </row>
    <row r="8" ht="15" customHeight="1">
      <c r="A8" s="7">
        <v>7</v>
      </c>
      <c r="B8" s="7" t="s">
        <v>453</v>
      </c>
      <c r="C8" s="7" t="s">
        <v>505</v>
      </c>
      <c r="D8" s="7" t="s">
        <v>506</v>
      </c>
      <c r="E8" s="7" t="s">
        <v>507</v>
      </c>
      <c r="F8" s="7" t="s">
        <v>20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sqref="F2:F8" type="list">
          <x14:formula1>
            <xm:f>Lists!$A$2:$A$6</xm:f>
          </x14:formula1>
          <xm:sqref>F2:F8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C36D42B-1633-42DC-B190-C9BFC68BD004}" mc:Ignorable="x14ac xr xr2 xr3">
  <dimension ref="A1:T200"/>
  <sheetViews>
    <sheetView topLeftCell="A1" workbookViewId="0">
      <selection activeCell="A1" sqref="A1"/>
    </sheetView>
  </sheetViews>
  <sheetFormatPr defaultRowHeight="15" defaultColWidth="9.140625" customHeight="1"/>
  <cols>
    <col min="1" max="1" width="12.00390625" customWidth="1"/>
    <col min="2" max="2" width="16.00390625" customWidth="1"/>
    <col min="3" max="3" width="32.00390625" customWidth="1"/>
    <col min="4" max="4" width="42.00390625" customWidth="1"/>
    <col min="5" max="5" width="10.00390625" customWidth="1"/>
    <col min="6" max="6" width="16.00390625" customWidth="1"/>
    <col min="7" max="7" width="30.00390625" customWidth="1"/>
  </cols>
  <sheetData>
    <row r="1" ht="15" customHeight="1">
      <c r="A1" s="6" t="s">
        <v>508</v>
      </c>
      <c r="B1" s="6" t="s">
        <v>509</v>
      </c>
      <c r="C1" s="6" t="s">
        <v>510</v>
      </c>
      <c r="D1" s="6" t="s">
        <v>511</v>
      </c>
      <c r="E1" s="6" t="s">
        <v>43</v>
      </c>
      <c r="F1" s="6" t="s">
        <v>3</v>
      </c>
      <c r="G1" s="6" t="s">
        <v>48</v>
      </c>
    </row>
    <row r="2" ht="15" customHeight="1">
      <c r="A2" s="7" t="s">
        <v>512</v>
      </c>
      <c r="B2" s="7" t="s">
        <v>28</v>
      </c>
      <c r="C2" s="7" t="s">
        <v>513</v>
      </c>
      <c r="D2" s="7" t="s">
        <v>514</v>
      </c>
      <c r="E2" s="7" t="s">
        <v>54</v>
      </c>
      <c r="F2" s="7" t="s">
        <v>20</v>
      </c>
      <c r="G2" s="7"/>
    </row>
    <row r="3" ht="15" customHeight="1">
      <c r="A3" s="8" t="s">
        <v>515</v>
      </c>
      <c r="B3" s="8" t="s">
        <v>28</v>
      </c>
      <c r="C3" s="8" t="s">
        <v>516</v>
      </c>
      <c r="D3" s="8" t="s">
        <v>517</v>
      </c>
      <c r="E3" s="8" t="s">
        <v>54</v>
      </c>
      <c r="F3" s="8" t="s">
        <v>20</v>
      </c>
      <c r="G3" s="8"/>
    </row>
    <row r="4" ht="15" customHeight="1">
      <c r="A4" s="7" t="s">
        <v>518</v>
      </c>
      <c r="B4" s="7" t="s">
        <v>28</v>
      </c>
      <c r="C4" s="7" t="s">
        <v>519</v>
      </c>
      <c r="D4" s="7" t="s">
        <v>520</v>
      </c>
      <c r="E4" s="7" t="s">
        <v>54</v>
      </c>
      <c r="F4" s="7" t="s">
        <v>20</v>
      </c>
      <c r="G4" s="7"/>
    </row>
    <row r="5" ht="15" customHeight="1">
      <c r="A5" s="8" t="s">
        <v>521</v>
      </c>
      <c r="B5" s="8" t="s">
        <v>28</v>
      </c>
      <c r="C5" s="8" t="s">
        <v>522</v>
      </c>
      <c r="D5" s="8" t="s">
        <v>523</v>
      </c>
      <c r="E5" s="8" t="s">
        <v>54</v>
      </c>
      <c r="F5" s="8" t="s">
        <v>20</v>
      </c>
      <c r="G5" s="8"/>
    </row>
    <row r="6" ht="15" customHeight="1">
      <c r="A6" s="7" t="s">
        <v>524</v>
      </c>
      <c r="B6" s="7" t="s">
        <v>28</v>
      </c>
      <c r="C6" s="7" t="s">
        <v>525</v>
      </c>
      <c r="D6" s="7" t="s">
        <v>526</v>
      </c>
      <c r="E6" s="7" t="s">
        <v>54</v>
      </c>
      <c r="F6" s="7" t="s">
        <v>20</v>
      </c>
      <c r="G6" s="7"/>
    </row>
    <row r="7" ht="15" customHeight="1">
      <c r="A7" s="8" t="s">
        <v>527</v>
      </c>
      <c r="B7" s="8" t="s">
        <v>28</v>
      </c>
      <c r="C7" s="8" t="s">
        <v>528</v>
      </c>
      <c r="D7" s="8" t="s">
        <v>529</v>
      </c>
      <c r="E7" s="8" t="s">
        <v>54</v>
      </c>
      <c r="F7" s="8" t="s">
        <v>20</v>
      </c>
      <c r="G7" s="8"/>
    </row>
    <row r="8" ht="15" customHeight="1">
      <c r="A8" s="7" t="s">
        <v>530</v>
      </c>
      <c r="B8" s="7" t="s">
        <v>28</v>
      </c>
      <c r="C8" s="7" t="s">
        <v>531</v>
      </c>
      <c r="D8" s="7" t="s">
        <v>532</v>
      </c>
      <c r="E8" s="7" t="s">
        <v>73</v>
      </c>
      <c r="F8" s="7" t="s">
        <v>20</v>
      </c>
      <c r="G8" s="7"/>
    </row>
    <row r="9" ht="15" customHeight="1">
      <c r="A9" s="8" t="s">
        <v>533</v>
      </c>
      <c r="B9" s="8" t="s">
        <v>28</v>
      </c>
      <c r="C9" s="8" t="s">
        <v>534</v>
      </c>
      <c r="D9" s="8" t="s">
        <v>535</v>
      </c>
      <c r="E9" s="8" t="s">
        <v>54</v>
      </c>
      <c r="F9" s="8" t="s">
        <v>20</v>
      </c>
      <c r="G9" s="8"/>
    </row>
    <row r="10" ht="15" customHeight="1">
      <c r="A10" s="7" t="s">
        <v>536</v>
      </c>
      <c r="B10" s="7" t="s">
        <v>537</v>
      </c>
      <c r="C10" s="7" t="s">
        <v>538</v>
      </c>
      <c r="D10" s="7" t="s">
        <v>539</v>
      </c>
      <c r="E10" s="7" t="s">
        <v>54</v>
      </c>
      <c r="F10" s="7" t="s">
        <v>20</v>
      </c>
      <c r="G10" s="7"/>
    </row>
    <row r="11" ht="15" customHeight="1">
      <c r="A11" s="8" t="s">
        <v>540</v>
      </c>
      <c r="B11" s="8" t="s">
        <v>537</v>
      </c>
      <c r="C11" s="8" t="s">
        <v>541</v>
      </c>
      <c r="D11" s="8" t="s">
        <v>542</v>
      </c>
      <c r="E11" s="8" t="s">
        <v>54</v>
      </c>
      <c r="F11" s="8" t="s">
        <v>20</v>
      </c>
      <c r="G11" s="8"/>
    </row>
    <row r="12" ht="15" customHeight="1">
      <c r="A12" s="7" t="s">
        <v>543</v>
      </c>
      <c r="B12" s="7" t="s">
        <v>29</v>
      </c>
      <c r="C12" s="7" t="s">
        <v>544</v>
      </c>
      <c r="D12" s="7" t="s">
        <v>545</v>
      </c>
      <c r="E12" s="7" t="s">
        <v>54</v>
      </c>
      <c r="F12" s="7" t="s">
        <v>20</v>
      </c>
      <c r="G12" s="7"/>
    </row>
    <row r="13" ht="15" customHeight="1">
      <c r="A13" s="8" t="s">
        <v>546</v>
      </c>
      <c r="B13" s="8" t="s">
        <v>29</v>
      </c>
      <c r="C13" s="8" t="s">
        <v>547</v>
      </c>
      <c r="D13" s="8" t="s">
        <v>548</v>
      </c>
      <c r="E13" s="8" t="s">
        <v>73</v>
      </c>
      <c r="F13" s="8" t="s">
        <v>20</v>
      </c>
      <c r="G13" s="8"/>
    </row>
    <row r="14" ht="15" customHeight="1">
      <c r="A14" s="7" t="s">
        <v>549</v>
      </c>
      <c r="B14" s="7" t="s">
        <v>29</v>
      </c>
      <c r="C14" s="7" t="s">
        <v>550</v>
      </c>
      <c r="D14" s="7" t="s">
        <v>551</v>
      </c>
      <c r="E14" s="7" t="s">
        <v>54</v>
      </c>
      <c r="F14" s="7" t="s">
        <v>20</v>
      </c>
      <c r="G14" s="7"/>
    </row>
    <row r="15" ht="15" customHeight="1">
      <c r="A15" s="8" t="s">
        <v>552</v>
      </c>
      <c r="B15" s="8" t="s">
        <v>29</v>
      </c>
      <c r="C15" s="8" t="s">
        <v>553</v>
      </c>
      <c r="D15" s="8" t="s">
        <v>554</v>
      </c>
      <c r="E15" s="8" t="s">
        <v>54</v>
      </c>
      <c r="F15" s="8" t="s">
        <v>20</v>
      </c>
      <c r="G15" s="8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sqref="F2:F15" type="list">
          <x14:formula1>
            <xm:f>Lists!$A$2:$A$6</xm:f>
          </x14:formula1>
          <xm:sqref>F2:F15</xm:sqref>
        </x14:dataValidation>
        <x14:dataValidation sqref="E2:E15" type="list">
          <x14:formula1>
            <xm:f>Lists!$B$2:$B$5</xm:f>
          </x14:formula1>
          <xm:sqref>E2:E15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3C14F5-4992-4E5B-B219-6497ABF0B7AD}" mc:Ignorable="x14ac xr xr2 xr3">
  <dimension ref="A1:T200"/>
  <sheetViews>
    <sheetView topLeftCell="A1" workbookViewId="0">
      <selection activeCell="A1" sqref="A1"/>
    </sheetView>
  </sheetViews>
  <sheetFormatPr defaultRowHeight="15" defaultColWidth="9.140625" customHeight="1"/>
  <cols>
    <col min="1" max="1" width="12.00390625" customWidth="1"/>
    <col min="2" max="2" width="40.00390625" customWidth="1"/>
    <col min="3" max="3" width="12.00390625" customWidth="1"/>
    <col min="4" max="4" width="14.00390625" customWidth="1"/>
    <col min="5" max="5" width="48.00390625" customWidth="1"/>
    <col min="6" max="6" width="12.00390625" customWidth="1"/>
    <col min="7" max="7" width="14.00390625" customWidth="1"/>
  </cols>
  <sheetData>
    <row r="1" ht="15" customHeight="1">
      <c r="A1" s="6" t="s">
        <v>555</v>
      </c>
      <c r="B1" s="6" t="s">
        <v>556</v>
      </c>
      <c r="C1" s="6" t="s">
        <v>557</v>
      </c>
      <c r="D1" s="6" t="s">
        <v>558</v>
      </c>
      <c r="E1" s="6" t="s">
        <v>559</v>
      </c>
      <c r="F1" s="6" t="s">
        <v>44</v>
      </c>
      <c r="G1" s="6" t="s">
        <v>3</v>
      </c>
    </row>
    <row r="2" ht="15" customHeight="1">
      <c r="A2" s="7" t="s">
        <v>560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55</v>
      </c>
      <c r="G2" s="7" t="s">
        <v>565</v>
      </c>
    </row>
    <row r="3" ht="15" customHeight="1">
      <c r="A3" s="8" t="s">
        <v>566</v>
      </c>
      <c r="B3" s="8" t="s">
        <v>567</v>
      </c>
      <c r="C3" s="8" t="s">
        <v>562</v>
      </c>
      <c r="D3" s="8" t="s">
        <v>563</v>
      </c>
      <c r="E3" s="8" t="s">
        <v>568</v>
      </c>
      <c r="F3" s="8" t="s">
        <v>55</v>
      </c>
      <c r="G3" s="8" t="s">
        <v>565</v>
      </c>
    </row>
    <row r="4" ht="15" customHeight="1">
      <c r="A4" s="7" t="s">
        <v>569</v>
      </c>
      <c r="B4" s="7" t="s">
        <v>570</v>
      </c>
      <c r="C4" s="7" t="s">
        <v>563</v>
      </c>
      <c r="D4" s="7" t="s">
        <v>562</v>
      </c>
      <c r="E4" s="7" t="s">
        <v>571</v>
      </c>
      <c r="F4" s="7" t="s">
        <v>55</v>
      </c>
      <c r="G4" s="7" t="s">
        <v>565</v>
      </c>
    </row>
    <row r="5" ht="15" customHeight="1">
      <c r="A5" s="8" t="s">
        <v>572</v>
      </c>
      <c r="B5" s="8" t="s">
        <v>573</v>
      </c>
      <c r="C5" s="8" t="s">
        <v>563</v>
      </c>
      <c r="D5" s="8" t="s">
        <v>563</v>
      </c>
      <c r="E5" s="8" t="s">
        <v>574</v>
      </c>
      <c r="F5" s="8" t="s">
        <v>55</v>
      </c>
      <c r="G5" s="8" t="s">
        <v>565</v>
      </c>
    </row>
    <row r="6" ht="15" customHeight="1">
      <c r="A6" s="7" t="s">
        <v>575</v>
      </c>
      <c r="B6" s="7" t="s">
        <v>576</v>
      </c>
      <c r="C6" s="7" t="s">
        <v>562</v>
      </c>
      <c r="D6" s="7" t="s">
        <v>563</v>
      </c>
      <c r="E6" s="7" t="s">
        <v>577</v>
      </c>
      <c r="F6" s="7" t="s">
        <v>55</v>
      </c>
      <c r="G6" s="7" t="s">
        <v>565</v>
      </c>
    </row>
    <row r="7" ht="15" customHeight="1">
      <c r="A7" s="8" t="s">
        <v>578</v>
      </c>
      <c r="B7" s="8" t="s">
        <v>579</v>
      </c>
      <c r="C7" s="8" t="s">
        <v>563</v>
      </c>
      <c r="D7" s="8" t="s">
        <v>563</v>
      </c>
      <c r="E7" s="8" t="s">
        <v>580</v>
      </c>
      <c r="F7" s="8" t="s">
        <v>55</v>
      </c>
      <c r="G7" s="8" t="s">
        <v>565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567968E-B633-46A6-8EE0-20E4CE943852}" mc:Ignorable="x14ac xr xr2 xr3">
  <dimension ref="A1:T200"/>
  <sheetViews>
    <sheetView topLeftCell="A1" workbookViewId="0">
      <selection activeCell="A1" sqref="A1"/>
    </sheetView>
  </sheetViews>
  <sheetFormatPr defaultRowHeight="15" defaultColWidth="9.140625" customHeight="1"/>
  <cols>
    <col min="1" max="1" width="18.00390625" customWidth="1"/>
    <col min="2" max="2" width="12.00390625" customWidth="1"/>
    <col min="3" max="3" width="18.00390625" customWidth="1"/>
    <col min="4" max="4" width="12.00390625" customWidth="1"/>
  </cols>
  <sheetData>
    <row r="1" ht="15" customHeight="1">
      <c r="A1" s="2" t="s">
        <v>3</v>
      </c>
      <c r="B1" s="2" t="s">
        <v>43</v>
      </c>
      <c r="C1" s="2" t="s">
        <v>26</v>
      </c>
      <c r="D1" s="2" t="s">
        <v>46</v>
      </c>
    </row>
    <row r="2" ht="15" customHeight="1">
      <c r="A2" t="s">
        <v>20</v>
      </c>
      <c r="B2" t="s">
        <v>54</v>
      </c>
      <c r="C2" t="s">
        <v>28</v>
      </c>
      <c r="D2" t="s">
        <v>56</v>
      </c>
    </row>
    <row r="3" ht="15" customHeight="1">
      <c r="A3" t="s">
        <v>11</v>
      </c>
      <c r="B3" t="s">
        <v>73</v>
      </c>
      <c r="C3" t="s">
        <v>29</v>
      </c>
      <c r="D3" t="s">
        <v>81</v>
      </c>
    </row>
    <row r="4" ht="15" customHeight="1">
      <c r="A4" t="s">
        <v>14</v>
      </c>
      <c r="B4" t="s">
        <v>114</v>
      </c>
      <c r="C4" t="s">
        <v>30</v>
      </c>
      <c r="D4" t="s">
        <v>103</v>
      </c>
    </row>
    <row r="5" ht="15" customHeight="1">
      <c r="A5" t="s">
        <v>17</v>
      </c>
      <c r="B5" t="s">
        <v>581</v>
      </c>
      <c r="C5" t="s">
        <v>31</v>
      </c>
      <c r="D5" t="s">
        <v>128</v>
      </c>
    </row>
    <row r="6" ht="15" customHeight="1">
      <c r="A6" t="s">
        <v>8</v>
      </c>
      <c r="C6" t="s">
        <v>32</v>
      </c>
      <c r="D6" t="s">
        <v>149</v>
      </c>
    </row>
    <row r="7" ht="15" customHeight="1">
      <c r="C7" t="s">
        <v>13</v>
      </c>
      <c r="D7" t="s">
        <v>165</v>
      </c>
    </row>
    <row r="8" ht="15" customHeight="1">
      <c r="C8" t="s">
        <v>33</v>
      </c>
      <c r="D8" t="s">
        <v>188</v>
      </c>
    </row>
    <row r="9" ht="15" customHeight="1">
      <c r="C9" t="s">
        <v>34</v>
      </c>
      <c r="D9" t="s">
        <v>210</v>
      </c>
    </row>
    <row r="10" ht="15" customHeight="1">
      <c r="C10" t="s">
        <v>35</v>
      </c>
      <c r="D10" t="s">
        <v>227</v>
      </c>
    </row>
    <row r="11" ht="15" customHeight="1">
      <c r="C11" t="s">
        <v>36</v>
      </c>
      <c r="D11" t="s">
        <v>270</v>
      </c>
    </row>
    <row r="12" ht="15" customHeight="1">
      <c r="C12" t="s">
        <v>37</v>
      </c>
    </row>
    <row r="13" ht="15" customHeight="1">
      <c r="C13" t="s">
        <v>38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DF535A1-9A9E-4194-9142-4D9EEBCAF920}" mc:Ignorable="x14ac xr xr2 xr3">
  <dimension ref="A1:T200"/>
  <sheetViews>
    <sheetView topLeftCell="A1" workbookViewId="0">
      <selection activeCell="A1" sqref="A1"/>
    </sheetView>
  </sheetViews>
  <sheetFormatPr defaultRowHeight="15" defaultColWidth="8.8515625" customHeight="1"/>
  <sheetData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2026-06-17T22:34:36Z</dcterms:created>
  <dcterms:modified xsi:type="dcterms:W3CDTF">2026-06-17T22:36:48Z</dcterms:modified>
</cp:coreProperties>
</file>